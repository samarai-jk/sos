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rivate\Sailing\sos\"/>
    </mc:Choice>
  </mc:AlternateContent>
  <xr:revisionPtr revIDLastSave="0" documentId="13_ncr:1_{47A311B0-8FFA-4567-9CC6-64034D21380F}" xr6:coauthVersionLast="47" xr6:coauthVersionMax="47" xr10:uidLastSave="{00000000-0000-0000-0000-000000000000}"/>
  <bookViews>
    <workbookView xWindow="6720" yWindow="2925" windowWidth="29265" windowHeight="28170" activeTab="1" xr2:uid="{A28DC856-220D-425D-BA35-72601C988A0D}"/>
    <workbookView xWindow="34785" yWindow="3075" windowWidth="19665" windowHeight="18705" xr2:uid="{91BC6740-D7D4-4E55-AC3F-4AE94734BDF0}"/>
  </bookViews>
  <sheets>
    <sheet name="Assesment" sheetId="6" r:id="rId1"/>
    <sheet name="Survey" sheetId="9" r:id="rId2"/>
    <sheet name="Calculations" sheetId="4" r:id="rId3"/>
    <sheet name="Parameters" sheetId="7" r:id="rId4"/>
  </sheets>
  <functionGroups builtInGroupCount="19"/>
  <definedNames>
    <definedName name="AssesmentTargets">Parameters!$C$14:$C$16</definedName>
    <definedName name="ItemState">Parameters!$C$3:$C$11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5" i="9" l="1"/>
  <c r="G185" i="9"/>
  <c r="F185" i="9"/>
  <c r="H167" i="9"/>
  <c r="G167" i="9"/>
  <c r="F167" i="9"/>
  <c r="N71" i="6"/>
  <c r="I424" i="4"/>
  <c r="G424" i="4"/>
  <c r="E424" i="4"/>
  <c r="J85" i="6"/>
  <c r="J84" i="6"/>
  <c r="I84" i="6"/>
  <c r="I85" i="6"/>
  <c r="N67" i="6"/>
  <c r="I322" i="4"/>
  <c r="G322" i="4"/>
  <c r="E322" i="4"/>
  <c r="I392" i="4"/>
  <c r="G392" i="4"/>
  <c r="E392" i="4"/>
  <c r="I312" i="4"/>
  <c r="I301" i="4"/>
  <c r="G301" i="4"/>
  <c r="G312" i="4"/>
  <c r="E312" i="4"/>
  <c r="N20" i="9"/>
  <c r="N19" i="9"/>
  <c r="N18" i="9"/>
  <c r="N17" i="9"/>
  <c r="N183" i="9"/>
  <c r="N177" i="9"/>
  <c r="N174" i="9"/>
  <c r="N171" i="9"/>
  <c r="N182" i="9"/>
  <c r="N178" i="9"/>
  <c r="N175" i="9"/>
  <c r="N172" i="9"/>
  <c r="N181" i="9"/>
  <c r="N176" i="9"/>
  <c r="N180" i="9"/>
  <c r="N173" i="9"/>
  <c r="N179" i="9"/>
  <c r="N165" i="9"/>
  <c r="N160" i="9"/>
  <c r="N164" i="9"/>
  <c r="N158" i="9"/>
  <c r="N163" i="9"/>
  <c r="N159" i="9"/>
  <c r="N162" i="9"/>
  <c r="N161" i="9"/>
  <c r="N156" i="9"/>
  <c r="N155" i="9"/>
  <c r="N154" i="9"/>
  <c r="N150" i="9"/>
  <c r="N149" i="9"/>
  <c r="N148" i="9"/>
  <c r="N145" i="9"/>
  <c r="N141" i="9"/>
  <c r="N137" i="9"/>
  <c r="N134" i="9"/>
  <c r="N144" i="9"/>
  <c r="N140" i="9"/>
  <c r="N138" i="9"/>
  <c r="N135" i="9"/>
  <c r="N143" i="9"/>
  <c r="N139" i="9"/>
  <c r="N136" i="9"/>
  <c r="N142" i="9"/>
  <c r="N131" i="9"/>
  <c r="N130" i="9"/>
  <c r="N129" i="9"/>
  <c r="N128" i="9"/>
  <c r="N126" i="9"/>
  <c r="N125" i="9"/>
  <c r="N120" i="9"/>
  <c r="N124" i="9"/>
  <c r="N123" i="9"/>
  <c r="N122" i="9"/>
  <c r="N121" i="9"/>
  <c r="N118" i="9"/>
  <c r="N117" i="9"/>
  <c r="N116" i="9"/>
  <c r="N115" i="9"/>
  <c r="N111" i="9"/>
  <c r="N110" i="9"/>
  <c r="N109" i="9"/>
  <c r="N108" i="9"/>
  <c r="N106" i="9"/>
  <c r="N105" i="9"/>
  <c r="N104" i="9"/>
  <c r="N102" i="9"/>
  <c r="N95" i="9"/>
  <c r="N101" i="9"/>
  <c r="N100" i="9"/>
  <c r="N99" i="9"/>
  <c r="N96" i="9"/>
  <c r="N98" i="9"/>
  <c r="N97" i="9"/>
  <c r="N93" i="9"/>
  <c r="N92" i="9"/>
  <c r="N91" i="9"/>
  <c r="N89" i="9"/>
  <c r="N88" i="9"/>
  <c r="N87" i="9"/>
  <c r="N86" i="9"/>
  <c r="N85" i="9"/>
  <c r="N83" i="9"/>
  <c r="N82" i="9"/>
  <c r="N80" i="9"/>
  <c r="N76" i="9"/>
  <c r="N79" i="9"/>
  <c r="N78" i="9"/>
  <c r="N77" i="9"/>
  <c r="N74" i="9"/>
  <c r="N73" i="9"/>
  <c r="N72" i="9"/>
  <c r="N71" i="9"/>
  <c r="N69" i="9"/>
  <c r="N67" i="9"/>
  <c r="N63" i="9"/>
  <c r="N60" i="9"/>
  <c r="N66" i="9"/>
  <c r="N62" i="9"/>
  <c r="N59" i="9"/>
  <c r="N65" i="9"/>
  <c r="N61" i="9"/>
  <c r="N64" i="9"/>
  <c r="N57" i="9"/>
  <c r="N56" i="9"/>
  <c r="N55" i="9"/>
  <c r="N54" i="9"/>
  <c r="N50" i="9"/>
  <c r="N43" i="9"/>
  <c r="N37" i="9"/>
  <c r="N49" i="9"/>
  <c r="N44" i="9"/>
  <c r="N40" i="9"/>
  <c r="N36" i="9"/>
  <c r="N33" i="9"/>
  <c r="N30" i="9"/>
  <c r="N48" i="9"/>
  <c r="N45" i="9"/>
  <c r="N41" i="9"/>
  <c r="N38" i="9"/>
  <c r="N34" i="9"/>
  <c r="N31" i="9"/>
  <c r="N47" i="9"/>
  <c r="N42" i="9"/>
  <c r="N39" i="9"/>
  <c r="N35" i="9"/>
  <c r="N46" i="9"/>
  <c r="N32" i="9"/>
  <c r="N28" i="9"/>
  <c r="N27" i="9"/>
  <c r="N26" i="9"/>
  <c r="N25" i="9"/>
  <c r="N23" i="9"/>
  <c r="N22" i="9"/>
  <c r="N21" i="9"/>
  <c r="N16" i="9"/>
  <c r="F60" i="6"/>
  <c r="N167" i="9" l="1"/>
  <c r="N185" i="9"/>
  <c r="I76" i="6"/>
  <c r="I75" i="6"/>
  <c r="I74" i="6"/>
  <c r="F34" i="7"/>
  <c r="H34" i="7"/>
  <c r="G34" i="7"/>
  <c r="E34" i="7"/>
  <c r="D34" i="7"/>
  <c r="J79" i="6"/>
  <c r="J78" i="6"/>
  <c r="J81" i="6"/>
  <c r="I73" i="6"/>
  <c r="I71" i="6"/>
  <c r="J82" i="6"/>
  <c r="J83" i="6"/>
  <c r="J80" i="6"/>
  <c r="I67" i="6"/>
  <c r="I79" i="6"/>
  <c r="I80" i="6"/>
  <c r="I81" i="6"/>
  <c r="I83" i="6"/>
  <c r="I82" i="6"/>
  <c r="I78" i="6"/>
  <c r="I166" i="4"/>
  <c r="G166" i="4"/>
  <c r="E166" i="4"/>
  <c r="I158" i="4"/>
  <c r="G158" i="4"/>
  <c r="E158" i="4"/>
  <c r="E301" i="4"/>
  <c r="I410" i="4"/>
  <c r="G410" i="4"/>
  <c r="E410" i="4"/>
  <c r="I172" i="4"/>
  <c r="G172" i="4"/>
  <c r="E172" i="4"/>
  <c r="I21" i="4"/>
  <c r="G445" i="4"/>
  <c r="I445" i="4" s="1"/>
  <c r="I69" i="4"/>
  <c r="G69" i="4"/>
  <c r="E69" i="4"/>
  <c r="E58" i="4"/>
  <c r="G58" i="4"/>
  <c r="I43" i="4"/>
  <c r="G43" i="4"/>
  <c r="E43" i="4"/>
  <c r="I76" i="4"/>
  <c r="G76" i="4"/>
  <c r="I71" i="4" s="1"/>
  <c r="E76" i="4"/>
  <c r="I39" i="4"/>
  <c r="G39" i="4"/>
  <c r="E39" i="4"/>
  <c r="G122" i="4"/>
  <c r="I122" i="4"/>
  <c r="E122" i="4"/>
  <c r="E14" i="4"/>
  <c r="E21" i="4"/>
  <c r="E445" i="4"/>
  <c r="G436" i="4"/>
  <c r="I436" i="4" s="1"/>
  <c r="E436" i="4"/>
  <c r="I431" i="4"/>
  <c r="G431" i="4"/>
  <c r="E431" i="4"/>
  <c r="I418" i="4"/>
  <c r="G418" i="4"/>
  <c r="E418" i="4"/>
  <c r="I387" i="4"/>
  <c r="G387" i="4"/>
  <c r="E387" i="4"/>
  <c r="I372" i="4"/>
  <c r="G372" i="4"/>
  <c r="E372" i="4"/>
  <c r="I347" i="4"/>
  <c r="G347" i="4"/>
  <c r="E347" i="4"/>
  <c r="E287" i="4"/>
  <c r="G287" i="4"/>
  <c r="I287" i="4" s="1"/>
  <c r="I280" i="4"/>
  <c r="G280" i="4"/>
  <c r="E280" i="4"/>
  <c r="I214" i="4"/>
  <c r="G214" i="4"/>
  <c r="E214" i="4"/>
  <c r="I28" i="4"/>
  <c r="G28" i="4"/>
  <c r="I23" i="4" s="1"/>
  <c r="E28" i="4"/>
  <c r="I149" i="4"/>
  <c r="G149" i="4"/>
  <c r="E149" i="4"/>
  <c r="I141" i="4"/>
  <c r="G141" i="4"/>
  <c r="E141" i="4"/>
  <c r="E130" i="4"/>
  <c r="I130" i="4"/>
  <c r="G130" i="4"/>
  <c r="I107" i="4"/>
  <c r="G107" i="4"/>
  <c r="E107" i="4"/>
  <c r="I113" i="4"/>
  <c r="G113" i="4"/>
  <c r="E113" i="4"/>
  <c r="I97" i="4"/>
  <c r="G97" i="4"/>
  <c r="E97" i="4"/>
  <c r="G91" i="4"/>
  <c r="I91" i="4" s="1"/>
  <c r="E91" i="4"/>
  <c r="I84" i="4"/>
  <c r="G84" i="4"/>
  <c r="E84" i="4"/>
  <c r="G21" i="4"/>
  <c r="I14" i="4"/>
  <c r="G14" i="4"/>
  <c r="F59" i="6"/>
  <c r="F61" i="6"/>
  <c r="F62" i="6"/>
  <c r="F63" i="6"/>
  <c r="J75" i="6" l="1"/>
  <c r="J74" i="6"/>
  <c r="J87" i="6" l="1"/>
  <c r="L87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F17" authorId="0" shapeId="0" xr:uid="{6A2FCDBD-4B8E-4CCD-A5FA-A794EADC2C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Proffessional repaint</t>
        </r>
      </text>
    </comment>
    <comment ref="H17" authorId="0" shapeId="0" xr:uid="{CF8CA51E-B36B-409B-9179-3F5BFC469772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Repaint with epoxy and 2part PU</t>
        </r>
      </text>
    </comment>
    <comment ref="F18" authorId="0" shapeId="0" xr:uid="{004C8C47-44E6-455C-9ABA-3C2B1B59B98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Professional job</t>
        </r>
      </text>
    </comment>
    <comment ref="G18" authorId="0" shapeId="0" xr:uid="{1C5BA78F-AE88-4FF5-8589-8901140EE5A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with pro grade antislip paint
</t>
        </r>
      </text>
    </comment>
    <comment ref="H18" authorId="0" shapeId="0" xr:uid="{36D56261-1EFE-47C1-A0FA-F3355BEF5CE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sand and paint</t>
        </r>
      </text>
    </comment>
    <comment ref="F19" authorId="0" shapeId="0" xr:uid="{66347628-100E-4B3E-B03E-C952FB89E85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Complete osmosis treatment</t>
        </r>
      </text>
    </comment>
    <comment ref="G19" authorId="0" shapeId="0" xr:uid="{FA5CB796-2B6C-4EF6-8336-739305B6FA0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Stripping paint and sealing</t>
        </r>
      </text>
    </comment>
    <comment ref="H19" authorId="0" shapeId="0" xr:uid="{5CC9B38C-8BB6-4931-88D0-2E0F429B7B5C}">
      <text>
        <r>
          <rPr>
            <b/>
            <sz val="9"/>
            <color indexed="81"/>
            <rFont val="Tahoma"/>
            <family val="2"/>
          </rPr>
          <t>Jiri Kudrna:
DIY stripping, barrier coat (no antifouling)</t>
        </r>
      </text>
    </comment>
    <comment ref="F20" authorId="0" shapeId="0" xr:uid="{AA1CB808-049C-48CB-A58E-2A90132047E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G20" authorId="0" shapeId="0" xr:uid="{6A5544BA-9883-4154-BC74-4A45AD8A90E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H20" authorId="0" shapeId="0" xr:uid="{B01E6EFE-0BB5-4CBA-9B26-AFAE8630A45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F22" authorId="0" shapeId="0" xr:uid="{BE2A26E4-0D0F-4CBA-AD9F-F190BD395A6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Marelon</t>
        </r>
      </text>
    </comment>
    <comment ref="G22" authorId="0" shapeId="0" xr:uid="{EB145570-9205-46FD-8F61-E24F7F0D94F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Groko bronze, DIY</t>
        </r>
      </text>
    </comment>
    <comment ref="H22" authorId="0" shapeId="0" xr:uid="{8737FAFE-29F8-4DAF-9547-A1A645311A1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Marelon, DIY</t>
        </r>
      </text>
    </comment>
    <comment ref="H35" authorId="0" shapeId="0" xr:uid="{16F44909-6B13-4746-BB24-6FC3E33DA72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F40" authorId="0" shapeId="0" xr:uid="{F6E10FAC-0670-44FC-AD7B-0F390DA1F816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contractor</t>
        </r>
      </text>
    </comment>
    <comment ref="G40" authorId="0" shapeId="0" xr:uid="{4378AD8A-3132-46D0-9AA8-1F7DCA4DD628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DIY</t>
        </r>
      </text>
    </comment>
    <comment ref="H40" authorId="0" shapeId="0" xr:uid="{03B19066-D0DE-4FAA-9CBF-4AA7666555B1}">
      <text>
        <r>
          <rPr>
            <b/>
            <sz val="9"/>
            <color indexed="81"/>
            <rFont val="Tahoma"/>
            <charset val="1"/>
          </rPr>
          <t>Jiri Kudrna:</t>
        </r>
        <r>
          <rPr>
            <sz val="9"/>
            <color indexed="81"/>
            <rFont val="Tahoma"/>
            <charset val="1"/>
          </rPr>
          <t xml:space="preserve">
removal, paint, anti-slip, DIY, cheaper material</t>
        </r>
      </text>
    </comment>
    <comment ref="F42" authorId="0" shapeId="0" xr:uid="{883EC4FF-50C8-48C1-BDB7-78BCC46EBE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contractor, material</t>
        </r>
      </text>
    </comment>
    <comment ref="G42" authorId="0" shapeId="0" xr:uid="{59A6DB2C-A908-4FC4-AD08-313C2D122F0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 only</t>
        </r>
      </text>
    </comment>
    <comment ref="H42" authorId="0" shapeId="0" xr:uid="{EB32E411-E3F0-4EBC-B0E6-6B6E3A248B73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lifelines only</t>
        </r>
      </text>
    </comment>
    <comment ref="F43" authorId="0" shapeId="0" xr:uid="{F3878CBD-E626-4EB5-85F0-F29FC49D2A1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</t>
        </r>
      </text>
    </comment>
    <comment ref="G43" authorId="0" shapeId="0" xr:uid="{E6491A7D-84A1-4603-868F-1713164C247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hatches, cheaper variant</t>
        </r>
      </text>
    </comment>
    <comment ref="F49" authorId="0" shapeId="0" xr:uid="{66C0D2D6-02BC-4811-8DE5-7758F5EF0AF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 made</t>
        </r>
      </text>
    </comment>
    <comment ref="G49" authorId="0" shapeId="0" xr:uid="{F97AF6F8-3BCF-4E83-9F54-DEE186D260A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sunbrella</t>
        </r>
      </text>
    </comment>
    <comment ref="H49" authorId="0" shapeId="0" xr:uid="{849F18A4-4A12-4FC6-8389-F03EB45F86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cheaper fabric</t>
        </r>
      </text>
    </comment>
    <comment ref="F59" authorId="0" shapeId="0" xr:uid="{9DFF7BDA-34FB-4186-A18D-19A1F57F5C0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repower in florida</t>
        </r>
      </text>
    </comment>
    <comment ref="G59" authorId="0" shapeId="0" xr:uid="{3EC24ACD-A907-4BCB-9BE0-A1D6DC795C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new engine, self install</t>
        </r>
      </text>
    </comment>
    <comment ref="H59" authorId="0" shapeId="0" xr:uid="{92BA62C0-23F3-4CFB-A3D9-3A0B382857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overhaul in mexico</t>
        </r>
      </text>
    </comment>
    <comment ref="F61" authorId="0" shapeId="0" xr:uid="{6A2ADAD9-7A81-4D6E-8A26-DC08F60E126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material</t>
        </r>
      </text>
    </comment>
    <comment ref="G61" authorId="0" shapeId="0" xr:uid="{03C3CD76-37C0-4B1B-B3B1-FB099889E30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</t>
        </r>
      </text>
    </comment>
    <comment ref="F62" authorId="0" shapeId="0" xr:uid="{6CD55A43-68E0-4988-B878-744F01FE30A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Maxprop</t>
        </r>
      </text>
    </comment>
    <comment ref="G62" authorId="0" shapeId="0" xr:uid="{4E4EAB3A-D30E-47A8-A442-FDF7DE89976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Bronze prop</t>
        </r>
      </text>
    </comment>
  </commentList>
</comments>
</file>

<file path=xl/sharedStrings.xml><?xml version="1.0" encoding="utf-8"?>
<sst xmlns="http://schemas.openxmlformats.org/spreadsheetml/2006/main" count="1205" uniqueCount="692">
  <si>
    <t>Systems</t>
  </si>
  <si>
    <t>Navigation</t>
  </si>
  <si>
    <t>Galley</t>
  </si>
  <si>
    <t>Fridge</t>
  </si>
  <si>
    <t>Freezer</t>
  </si>
  <si>
    <t>Windlass</t>
  </si>
  <si>
    <t>Starlink</t>
  </si>
  <si>
    <t>Fans</t>
  </si>
  <si>
    <t>Microwave</t>
  </si>
  <si>
    <t>Navigation Computer</t>
  </si>
  <si>
    <t>Wind Generator</t>
  </si>
  <si>
    <t>X</t>
  </si>
  <si>
    <t>100W Flex 18.7V/5.3A</t>
  </si>
  <si>
    <t>Victron SmartSolar 100/30</t>
  </si>
  <si>
    <t>Victron SmartSolar 100/50</t>
  </si>
  <si>
    <t>12 AWG Wire 500ft</t>
  </si>
  <si>
    <t>10 AWG Wire 100ft</t>
  </si>
  <si>
    <t>Misc Installation Material</t>
  </si>
  <si>
    <t>Lines/Webbing</t>
  </si>
  <si>
    <t>Grommets/Fasteners</t>
  </si>
  <si>
    <t>Fabric</t>
  </si>
  <si>
    <t>Wire, lugs, busbars</t>
  </si>
  <si>
    <t>Battery switches</t>
  </si>
  <si>
    <t>Balmer 170A/Regulator</t>
  </si>
  <si>
    <t>DC/DC To/From Engine Battery</t>
  </si>
  <si>
    <t>Installation Material, fuses</t>
  </si>
  <si>
    <t>Device</t>
  </si>
  <si>
    <t>2 Big Monitors</t>
  </si>
  <si>
    <t>12V Power Supply, installation</t>
  </si>
  <si>
    <t>Batteries, based on LiTime</t>
  </si>
  <si>
    <t>Sales Tax</t>
  </si>
  <si>
    <t>Shipping Average %</t>
  </si>
  <si>
    <t>Drill</t>
  </si>
  <si>
    <t>Impact Drill</t>
  </si>
  <si>
    <t>Power Tools</t>
  </si>
  <si>
    <t>Sander</t>
  </si>
  <si>
    <t>Oscillating Multitool</t>
  </si>
  <si>
    <t>Jigsaw</t>
  </si>
  <si>
    <t>Rotary Tool</t>
  </si>
  <si>
    <t>Heatgun</t>
  </si>
  <si>
    <t>Crimptool Electric Cables</t>
  </si>
  <si>
    <t>Crimptool Battery Cable Lugs</t>
  </si>
  <si>
    <t>Crimptool For MC4 Plugs</t>
  </si>
  <si>
    <t>Angle Grinder</t>
  </si>
  <si>
    <t>12V Fuel Transfer Pump/Filter Box DIY</t>
  </si>
  <si>
    <t>Battery</t>
  </si>
  <si>
    <t>12V Water Transfer Pump Box DIY</t>
  </si>
  <si>
    <t>12V Air Pump (Dinghy)</t>
  </si>
  <si>
    <t>Floodlight/Work Light</t>
  </si>
  <si>
    <t>12V Waterproof Searchlight</t>
  </si>
  <si>
    <t>Vehicle Charger</t>
  </si>
  <si>
    <t>AC Charger</t>
  </si>
  <si>
    <t>M18 Battery 2-3Ah 18V</t>
  </si>
  <si>
    <t>M18 Battery 4-5Ah 18V</t>
  </si>
  <si>
    <t>M18 Battery 6Ah 18V</t>
  </si>
  <si>
    <t>M18 to 12V DC/DC</t>
  </si>
  <si>
    <t>Battery Adabler M18 to Ryobi</t>
  </si>
  <si>
    <t>Barracuda 200ZW Sewing Machine</t>
  </si>
  <si>
    <t>Sewing Material</t>
  </si>
  <si>
    <t>Consumables</t>
  </si>
  <si>
    <t>M18 To 12V DC/DC Box DIY</t>
  </si>
  <si>
    <t>Cordless Batteries/Charging/Adapting</t>
  </si>
  <si>
    <t>Soldgering Station</t>
  </si>
  <si>
    <t>Vacuum Wet/Dry</t>
  </si>
  <si>
    <t>Glue Gun</t>
  </si>
  <si>
    <t>Fiberglass</t>
  </si>
  <si>
    <t>Sandpaper</t>
  </si>
  <si>
    <t>Grease</t>
  </si>
  <si>
    <t>Sealants Sika/3M</t>
  </si>
  <si>
    <t>Cableties</t>
  </si>
  <si>
    <t>Tapes</t>
  </si>
  <si>
    <t>Shrinking Tubes</t>
  </si>
  <si>
    <t>Soldgering Led / Accessories</t>
  </si>
  <si>
    <t>Glues / Gluegun Sticks</t>
  </si>
  <si>
    <t>Hoseclamps</t>
  </si>
  <si>
    <t>Plumbing parts</t>
  </si>
  <si>
    <t>Wipping Twine</t>
  </si>
  <si>
    <t>All sorts of elecrical parts</t>
  </si>
  <si>
    <t>Alcohol, Acetone, Thinner</t>
  </si>
  <si>
    <t>Cleaning Supplies</t>
  </si>
  <si>
    <t>Batteries AA, AAA, 9V, etc</t>
  </si>
  <si>
    <t>Lubrication Sprays (WD40, Silicon Spray, etc)</t>
  </si>
  <si>
    <t>Oil Extraction Pump</t>
  </si>
  <si>
    <t>Electrical Multimeter</t>
  </si>
  <si>
    <t>Electrical Connectors (Crimp), wire ends</t>
  </si>
  <si>
    <t>Clamps</t>
  </si>
  <si>
    <t>Sail Repair Kit</t>
  </si>
  <si>
    <t>Spray Paint</t>
  </si>
  <si>
    <t>Hand Sewing Kit</t>
  </si>
  <si>
    <t>Googles, Gloves, Earplugs, Masks</t>
  </si>
  <si>
    <t>Underwater Epoxy</t>
  </si>
  <si>
    <t>Acid (For stainless cleaning)</t>
  </si>
  <si>
    <t>Oil/Fuelfilter Wrench</t>
  </si>
  <si>
    <t>Epoxy, Fillers, Cups, Mixing Sticks, etc.</t>
  </si>
  <si>
    <t>Polysester Resin</t>
  </si>
  <si>
    <t>Brushes</t>
  </si>
  <si>
    <t>Drill Bits</t>
  </si>
  <si>
    <t>Grease Gun</t>
  </si>
  <si>
    <t>Pry bars</t>
  </si>
  <si>
    <t>Blanking plugs</t>
  </si>
  <si>
    <t>Label maker</t>
  </si>
  <si>
    <t>Assorted repair/emergency manuals as paperbacks</t>
  </si>
  <si>
    <t>Dry Cabinet</t>
  </si>
  <si>
    <t>Optimal</t>
  </si>
  <si>
    <t>Economical</t>
  </si>
  <si>
    <t>Fabric For Small Sewing Projects</t>
  </si>
  <si>
    <t>Mechanical Tools</t>
  </si>
  <si>
    <t>Utility Knife, Blades</t>
  </si>
  <si>
    <t>Misc Tools</t>
  </si>
  <si>
    <t>Caulk Gun</t>
  </si>
  <si>
    <t>Soldgering Iron AC</t>
  </si>
  <si>
    <t>Screwdrivers set</t>
  </si>
  <si>
    <t>Heavy Duty Mechanical Tools</t>
  </si>
  <si>
    <t>Water pump pliers</t>
  </si>
  <si>
    <t>Wire stripper</t>
  </si>
  <si>
    <t>Rubber mallet</t>
  </si>
  <si>
    <t>Hacksaw/blades</t>
  </si>
  <si>
    <t>Pipe wrench</t>
  </si>
  <si>
    <t>Feeler Gauge (metric and imperial)</t>
  </si>
  <si>
    <t>Belt Tension Gauge</t>
  </si>
  <si>
    <t>Tap and die set (metric and imperial)</t>
  </si>
  <si>
    <t>Tool boxes</t>
  </si>
  <si>
    <t>Measurement Tools</t>
  </si>
  <si>
    <t>Tape measurer</t>
  </si>
  <si>
    <t>Calipers</t>
  </si>
  <si>
    <t>Micrometer</t>
  </si>
  <si>
    <t>Torx keys</t>
  </si>
  <si>
    <t>Endoscope/Boresope</t>
  </si>
  <si>
    <t>Level</t>
  </si>
  <si>
    <t>Ruler</t>
  </si>
  <si>
    <t>Protractor</t>
  </si>
  <si>
    <t>Wire cutters</t>
  </si>
  <si>
    <t>Screwdriver bits</t>
  </si>
  <si>
    <t>Powertools Accessories</t>
  </si>
  <si>
    <t>Multitool Blades</t>
  </si>
  <si>
    <t>Hole saw</t>
  </si>
  <si>
    <t>Rotary tool bits</t>
  </si>
  <si>
    <t>Orbital sander discs</t>
  </si>
  <si>
    <t>Jigsaw blades</t>
  </si>
  <si>
    <t>Grinder disks</t>
  </si>
  <si>
    <t>Temperature meter</t>
  </si>
  <si>
    <t>DC Clamp meter</t>
  </si>
  <si>
    <t>Countersink bits</t>
  </si>
  <si>
    <t>Mirror on stick</t>
  </si>
  <si>
    <t>Magnet on stick</t>
  </si>
  <si>
    <t>Offset Marking Gauge</t>
  </si>
  <si>
    <t>Pinless moisture meter (cheap)</t>
  </si>
  <si>
    <t>Bench wise</t>
  </si>
  <si>
    <t>Bolt cutters</t>
  </si>
  <si>
    <t>Paint Brushes</t>
  </si>
  <si>
    <t>Wrenches set (Metric and SAE)</t>
  </si>
  <si>
    <t>Sockets set (metric and SAE)</t>
  </si>
  <si>
    <t>Allen/Hex keys (Metric and SAE)</t>
  </si>
  <si>
    <t>Adjustable Wrenches Set</t>
  </si>
  <si>
    <t>Drive Sliding Wrench Breaker Bar T-Handle set</t>
  </si>
  <si>
    <t>Impact driver bits set</t>
  </si>
  <si>
    <t>Impact driver socket adapters</t>
  </si>
  <si>
    <t>Vise grip pliers set</t>
  </si>
  <si>
    <t>Combination pliers, Needle nose pliers set</t>
  </si>
  <si>
    <t>Hammers set</t>
  </si>
  <si>
    <t>Hammer/Axe</t>
  </si>
  <si>
    <t>Torque Wrench set</t>
  </si>
  <si>
    <t>Gear/Impeller puller</t>
  </si>
  <si>
    <t>Deck Tools</t>
  </si>
  <si>
    <t>Bucket</t>
  </si>
  <si>
    <t>Throw bucket</t>
  </si>
  <si>
    <t>Sponges</t>
  </si>
  <si>
    <t>Sanding Board</t>
  </si>
  <si>
    <t>Assorted wire</t>
  </si>
  <si>
    <t>Spare Fuses, Emergency Fuses</t>
  </si>
  <si>
    <t>Dinghy Accessories</t>
  </si>
  <si>
    <t>Set of oars</t>
  </si>
  <si>
    <t>Depth sounder kit</t>
  </si>
  <si>
    <t>Rigging Spares</t>
  </si>
  <si>
    <t>Blocks</t>
  </si>
  <si>
    <t>Spare halyard</t>
  </si>
  <si>
    <t>Spare sheets</t>
  </si>
  <si>
    <t>Spare winch handle</t>
  </si>
  <si>
    <t>Sail cloth</t>
  </si>
  <si>
    <t>Thimbles</t>
  </si>
  <si>
    <t>General spare lines</t>
  </si>
  <si>
    <t>Corrosion inhibiter (Tef-Gel or similar)</t>
  </si>
  <si>
    <t>Quick settle epoxies, plastic metal</t>
  </si>
  <si>
    <t>Dinghy anchor and rode</t>
  </si>
  <si>
    <t>Bosum chair / safety harness</t>
  </si>
  <si>
    <t>Rivet tool</t>
  </si>
  <si>
    <t>Assorted O-Rings</t>
  </si>
  <si>
    <t>Eye bolts / eye nuts</t>
  </si>
  <si>
    <t>Assorted tapping screws</t>
  </si>
  <si>
    <t>Assorted bolts/nuts/washers</t>
  </si>
  <si>
    <t>Assorted grub-screws</t>
  </si>
  <si>
    <t>Assorted rivets (alloy and monel)</t>
  </si>
  <si>
    <t>Assorted threaded rods</t>
  </si>
  <si>
    <t>Mechanical Spares</t>
  </si>
  <si>
    <t>Assorted Rope/Line 1-6mm</t>
  </si>
  <si>
    <t>Electrical Installation Tools</t>
  </si>
  <si>
    <t>Vacuum sealer</t>
  </si>
  <si>
    <t>Vacuum storage bags</t>
  </si>
  <si>
    <t>Vacuum sealer bags/roll</t>
  </si>
  <si>
    <t>Paints/Primer/Warnish</t>
  </si>
  <si>
    <t>Electric Installation Spares</t>
  </si>
  <si>
    <t>Tweezers</t>
  </si>
  <si>
    <t>Emergency Gasket Material</t>
  </si>
  <si>
    <t>Spray adhesive</t>
  </si>
  <si>
    <t>Sail repair tape</t>
  </si>
  <si>
    <t>Spare Blocks</t>
  </si>
  <si>
    <t>Spare Shackles</t>
  </si>
  <si>
    <t>Spare Hooks</t>
  </si>
  <si>
    <t>Spare carabiners</t>
  </si>
  <si>
    <t>Low Friction rings</t>
  </si>
  <si>
    <t>Soft shackles (DIY)</t>
  </si>
  <si>
    <t>Spare dyneema line</t>
  </si>
  <si>
    <t>Hollow splicing fid</t>
  </si>
  <si>
    <t>Split/cotter pins and cotter rings</t>
  </si>
  <si>
    <t>Seizing wire</t>
  </si>
  <si>
    <t>Installation</t>
  </si>
  <si>
    <t>High Output Alternator</t>
  </si>
  <si>
    <t>Inverter/Charger (3kW/120A or 2kW/80A)</t>
  </si>
  <si>
    <t>Victron Inverter/Charger</t>
  </si>
  <si>
    <t>2kW</t>
  </si>
  <si>
    <t>3kW/120A</t>
  </si>
  <si>
    <t>2kW/80A</t>
  </si>
  <si>
    <t>Sunbrella marine fabric</t>
  </si>
  <si>
    <t>Cheaper marine fabric</t>
  </si>
  <si>
    <t>Mostly Ryobi (but Milwaukee batteries)</t>
  </si>
  <si>
    <t>4x</t>
  </si>
  <si>
    <t>2x</t>
  </si>
  <si>
    <t>3x</t>
  </si>
  <si>
    <t>0x</t>
  </si>
  <si>
    <t>M18 To USB Charger</t>
  </si>
  <si>
    <t>Isolation Transformer</t>
  </si>
  <si>
    <t>3.6kW</t>
  </si>
  <si>
    <t>80l ish</t>
  </si>
  <si>
    <t>50l ish</t>
  </si>
  <si>
    <t>Mostly Milwaukee cordless</t>
  </si>
  <si>
    <t>DIY Tool Projects</t>
  </si>
  <si>
    <t>Cables and wall-plugs 12V using industrial plugs</t>
  </si>
  <si>
    <t>Sewing Kit</t>
  </si>
  <si>
    <t>Tools</t>
  </si>
  <si>
    <t>Shore power box, fuse</t>
  </si>
  <si>
    <t>Shore power cable 30A</t>
  </si>
  <si>
    <t>Installation Material, fuses, switches, sockets</t>
  </si>
  <si>
    <t>Repair/Maintenance/Cleaning Spares And Consumables</t>
  </si>
  <si>
    <t xml:space="preserve">Dry Cabinet </t>
  </si>
  <si>
    <t>Alloy arch, price approx</t>
  </si>
  <si>
    <t>Installation material, blocks, line</t>
  </si>
  <si>
    <t>Shipping (additional)</t>
  </si>
  <si>
    <t>Frame</t>
  </si>
  <si>
    <t>Solar pannel mounting material</t>
  </si>
  <si>
    <t>Installation material, hardware</t>
  </si>
  <si>
    <t>Bimini (DIY)</t>
  </si>
  <si>
    <t>Dodger (DIY)</t>
  </si>
  <si>
    <t>Anchoring System</t>
  </si>
  <si>
    <t>Anchor</t>
  </si>
  <si>
    <t>Viking 15</t>
  </si>
  <si>
    <t>Mantus M1 45lbs</t>
  </si>
  <si>
    <t>Anchor chain</t>
  </si>
  <si>
    <t>Swivel</t>
  </si>
  <si>
    <t>Kong</t>
  </si>
  <si>
    <t>Rated shakle</t>
  </si>
  <si>
    <t>Nylon rode</t>
  </si>
  <si>
    <t>150ft 8-plait</t>
  </si>
  <si>
    <t>150ft 3 strand</t>
  </si>
  <si>
    <t>Bridle (line, hardware)</t>
  </si>
  <si>
    <t>Anchor hook</t>
  </si>
  <si>
    <t>Lofrans Tigres (binnacle.com)</t>
  </si>
  <si>
    <t>DC/DC charger</t>
  </si>
  <si>
    <t>Cockpit switch incl installation</t>
  </si>
  <si>
    <t>150ft 3/8 Grade 43 BBB</t>
  </si>
  <si>
    <t>two-way 150A</t>
  </si>
  <si>
    <t>100Ah LifePo4</t>
  </si>
  <si>
    <t>Selenoid, switches, wires, lugs</t>
  </si>
  <si>
    <t>100Ah Deep-Cycle Lead-Acid</t>
  </si>
  <si>
    <t>30A Smart charger</t>
  </si>
  <si>
    <t>cables, breaker, installation material</t>
  </si>
  <si>
    <t>ANCHORING</t>
  </si>
  <si>
    <t>DECK INSTALLATIONS</t>
  </si>
  <si>
    <t>MACHINERY</t>
  </si>
  <si>
    <t>ELECTRICS</t>
  </si>
  <si>
    <t>TOOLS</t>
  </si>
  <si>
    <t>SPARE PARTS / CONSUMABLES</t>
  </si>
  <si>
    <t>DINGHY</t>
  </si>
  <si>
    <t>PROJECTS</t>
  </si>
  <si>
    <t>LiTime 230Ah, 11kWh, 800A</t>
  </si>
  <si>
    <t>DIY, 10kWh, 600A</t>
  </si>
  <si>
    <t>atlantictowers.com</t>
  </si>
  <si>
    <t>Solar Arch And Davits</t>
  </si>
  <si>
    <t>Awning (DIY)</t>
  </si>
  <si>
    <t>Dighy</t>
  </si>
  <si>
    <t>Dinghy</t>
  </si>
  <si>
    <t>Aluminum floor, 9ft, Hypalon</t>
  </si>
  <si>
    <t>Aluminum floor, 9ft, PVC</t>
  </si>
  <si>
    <t>Engine tools / repair kit</t>
  </si>
  <si>
    <t>Engine</t>
  </si>
  <si>
    <t>6HP Gasoline</t>
  </si>
  <si>
    <t>10HP Gasoline</t>
  </si>
  <si>
    <t>Launch Wheels</t>
  </si>
  <si>
    <t>Engine / Tank</t>
  </si>
  <si>
    <t>Outboard Spare Parts</t>
  </si>
  <si>
    <t>Propeller</t>
  </si>
  <si>
    <t>Safety lock engine and dinghy</t>
  </si>
  <si>
    <t>DIY elevated floor and storage box</t>
  </si>
  <si>
    <t>Essential</t>
  </si>
  <si>
    <t>Dedicated battery (separate item)</t>
  </si>
  <si>
    <t>Foot pump (backup, electric is separate item)</t>
  </si>
  <si>
    <t>Engine/ Drive Train Spare Parts</t>
  </si>
  <si>
    <t>Oil filters x5</t>
  </si>
  <si>
    <t>Engine oil 20l</t>
  </si>
  <si>
    <t>Alternator belts</t>
  </si>
  <si>
    <t>Full set of engine hoses</t>
  </si>
  <si>
    <t>Water Pump impellers x3</t>
  </si>
  <si>
    <t>Engine zincs x5</t>
  </si>
  <si>
    <t xml:space="preserve">Drive Belt </t>
  </si>
  <si>
    <t>Starter motor</t>
  </si>
  <si>
    <t>Fuel pump</t>
  </si>
  <si>
    <t>Raw water pump</t>
  </si>
  <si>
    <t>Heat exchanger</t>
  </si>
  <si>
    <t>Gasket set</t>
  </si>
  <si>
    <t>Thermostat</t>
  </si>
  <si>
    <t>Oil pressure sensor</t>
  </si>
  <si>
    <t>Propeller zincs x2</t>
  </si>
  <si>
    <t>Cutlass bearing</t>
  </si>
  <si>
    <t>Shaft seal</t>
  </si>
  <si>
    <t>Transmission fluid 4l</t>
  </si>
  <si>
    <t>Spare propeller</t>
  </si>
  <si>
    <t>Full set of hose clamps x2</t>
  </si>
  <si>
    <t>Fuel filters pre-filter x5</t>
  </si>
  <si>
    <t>Fuel filters engine x5</t>
  </si>
  <si>
    <t>Impeller</t>
  </si>
  <si>
    <t xml:space="preserve">Spark Plugs x2 </t>
  </si>
  <si>
    <t>Oil Filter x3</t>
  </si>
  <si>
    <t>Fuel Filter x3</t>
  </si>
  <si>
    <t>Anodes Kit x3</t>
  </si>
  <si>
    <t>Prop Nut and Cotter Pin</t>
  </si>
  <si>
    <t>Fuel Pump Diaphragm</t>
  </si>
  <si>
    <t>Carburetor Repair Kit</t>
  </si>
  <si>
    <t>Inflatable Repair Kit</t>
  </si>
  <si>
    <t>Water Pump Repair Kit</t>
  </si>
  <si>
    <t>Seal Kits</t>
  </si>
  <si>
    <t>75ft 3/8 Grade 43 BBB</t>
  </si>
  <si>
    <t>Cheaper one</t>
  </si>
  <si>
    <t>300ft 3 strand</t>
  </si>
  <si>
    <t>Soft floor, 8ft, PVC</t>
  </si>
  <si>
    <t>5HP Gasoline cheapest</t>
  </si>
  <si>
    <t xml:space="preserve">250W Rigid 18.9V/13.2A </t>
  </si>
  <si>
    <t>x3</t>
  </si>
  <si>
    <t>x4</t>
  </si>
  <si>
    <t>x8</t>
  </si>
  <si>
    <t>x1</t>
  </si>
  <si>
    <t>x2</t>
  </si>
  <si>
    <t>Solar Panels Arch/Bimini 1150W</t>
  </si>
  <si>
    <t>Connectors</t>
  </si>
  <si>
    <t>Connector collection box</t>
  </si>
  <si>
    <t>Solar Panels Awning 2x400W Removable/Foldable</t>
  </si>
  <si>
    <t>Smaller product</t>
  </si>
  <si>
    <t>one-way 100A</t>
  </si>
  <si>
    <t>Power wires from main battery / installation</t>
  </si>
  <si>
    <t>Windlass Power</t>
  </si>
  <si>
    <t>None</t>
  </si>
  <si>
    <t>1/0 AWG wire from house bank</t>
  </si>
  <si>
    <t>Standing Rigging</t>
  </si>
  <si>
    <t>Running Rigging</t>
  </si>
  <si>
    <t>Sails</t>
  </si>
  <si>
    <t>Forestay</t>
  </si>
  <si>
    <t>Backstay</t>
  </si>
  <si>
    <t>Cap shrouds</t>
  </si>
  <si>
    <t>Lower shrouds</t>
  </si>
  <si>
    <t>Intermediate shrouds</t>
  </si>
  <si>
    <t>Roller Furler</t>
  </si>
  <si>
    <t>Chainplates</t>
  </si>
  <si>
    <t>Beefed up offshore version</t>
  </si>
  <si>
    <t>Standard version</t>
  </si>
  <si>
    <t>Only replace necessary ones</t>
  </si>
  <si>
    <t>Mainsail Halyard: 20 meters</t>
  </si>
  <si>
    <t>Jib Halyard: 25 meters</t>
  </si>
  <si>
    <t>Main Sheet: 30 meters</t>
  </si>
  <si>
    <t>Jib Sheets: 2 x 20 meters</t>
  </si>
  <si>
    <t>Jib Furler Line: 15 meters</t>
  </si>
  <si>
    <t>Spinnaker Halyard: 35 meters</t>
  </si>
  <si>
    <t>Topping Lift: 20 meters</t>
  </si>
  <si>
    <t>Reef lines (2): 2 x 15 meters</t>
  </si>
  <si>
    <t>Outhaul line: 10 meters</t>
  </si>
  <si>
    <t>Cunningham: 5 meters</t>
  </si>
  <si>
    <t>Boom vang line: 15 meters</t>
  </si>
  <si>
    <t>Traveler lines: 2 x 5 meters</t>
  </si>
  <si>
    <t>based on 7 USD per meter</t>
  </si>
  <si>
    <t>based on 5 USD per meter</t>
  </si>
  <si>
    <t>RIGGING And Sails (Based on 40ft Hunter Legend)</t>
  </si>
  <si>
    <t>Main sheet blocks x4</t>
  </si>
  <si>
    <t>Jib sheet blocks x2</t>
  </si>
  <si>
    <t>Jib Furling blocks x3</t>
  </si>
  <si>
    <t>Reef line blocks x4</t>
  </si>
  <si>
    <t>Outhaul block x1</t>
  </si>
  <si>
    <t>Boom vang blocks x2</t>
  </si>
  <si>
    <t>Cunningham blocks x2</t>
  </si>
  <si>
    <t>Traveler blocks x2</t>
  </si>
  <si>
    <t>$50 per block</t>
  </si>
  <si>
    <t>$40 per block</t>
  </si>
  <si>
    <t>Main</t>
  </si>
  <si>
    <t>Jib</t>
  </si>
  <si>
    <t>Genoa</t>
  </si>
  <si>
    <t>Spinnacker</t>
  </si>
  <si>
    <t>Underwater Hull</t>
  </si>
  <si>
    <t>Keel</t>
  </si>
  <si>
    <t>Through Hull Fittings and Seacocks</t>
  </si>
  <si>
    <t>Non-Skid Surfaces</t>
  </si>
  <si>
    <t>Transmission</t>
  </si>
  <si>
    <t>Engine Start Battery</t>
  </si>
  <si>
    <t>Engine Controls</t>
  </si>
  <si>
    <t>Engine Instruments</t>
  </si>
  <si>
    <t>Fuel Tanks</t>
  </si>
  <si>
    <t>Fuel System (Lines, Filters)</t>
  </si>
  <si>
    <t>Fresh Water Tanks</t>
  </si>
  <si>
    <t>Fresh Water System (Pump, Lines, Focets)</t>
  </si>
  <si>
    <t>Electrical Wiring</t>
  </si>
  <si>
    <t>Generator</t>
  </si>
  <si>
    <t>Engine Exhaust System</t>
  </si>
  <si>
    <t>Steering System</t>
  </si>
  <si>
    <t>Bow Thruster</t>
  </si>
  <si>
    <t>Mooring/Docking Lines</t>
  </si>
  <si>
    <t>Fenders</t>
  </si>
  <si>
    <t>Cockpit Upholstery</t>
  </si>
  <si>
    <t>Lifelines, Stanchions</t>
  </si>
  <si>
    <t>Hatches, Portlights</t>
  </si>
  <si>
    <t>Swim Platform</t>
  </si>
  <si>
    <t>Windwane</t>
  </si>
  <si>
    <t>Propane System</t>
  </si>
  <si>
    <t>Stove/Oven</t>
  </si>
  <si>
    <t>Galley Equipment</t>
  </si>
  <si>
    <t>Sink</t>
  </si>
  <si>
    <t>Hull/Superstructure</t>
  </si>
  <si>
    <t>Mooring</t>
  </si>
  <si>
    <t>Rigging</t>
  </si>
  <si>
    <t>Deck</t>
  </si>
  <si>
    <t>Steering</t>
  </si>
  <si>
    <t>Rudder</t>
  </si>
  <si>
    <t>Propulsion</t>
  </si>
  <si>
    <t>Energy Management</t>
  </si>
  <si>
    <t>AC  Power System</t>
  </si>
  <si>
    <t>Electrical System</t>
  </si>
  <si>
    <t>DC Switchboard</t>
  </si>
  <si>
    <t>Diesel System</t>
  </si>
  <si>
    <t>Tank Monitoring</t>
  </si>
  <si>
    <t>Diesel Polishing</t>
  </si>
  <si>
    <t>Fresh Water System</t>
  </si>
  <si>
    <t>Below Deck</t>
  </si>
  <si>
    <t>Joinery</t>
  </si>
  <si>
    <t>Brightwork</t>
  </si>
  <si>
    <t>Structure</t>
  </si>
  <si>
    <t>Teak</t>
  </si>
  <si>
    <t>Floorboards</t>
  </si>
  <si>
    <t>Ceiling/Liners</t>
  </si>
  <si>
    <t>General</t>
  </si>
  <si>
    <t>Upholstery</t>
  </si>
  <si>
    <t>Autopilot</t>
  </si>
  <si>
    <t>VHF</t>
  </si>
  <si>
    <t>Radar</t>
  </si>
  <si>
    <t>AIS</t>
  </si>
  <si>
    <t>Heads</t>
  </si>
  <si>
    <t>Airconditioning</t>
  </si>
  <si>
    <t>Heater</t>
  </si>
  <si>
    <t>HVAC</t>
  </si>
  <si>
    <t>Ventilation</t>
  </si>
  <si>
    <t>Safety Gear</t>
  </si>
  <si>
    <t>Fire Extinguishers</t>
  </si>
  <si>
    <t>Liferaft</t>
  </si>
  <si>
    <t>Flares</t>
  </si>
  <si>
    <t>Bilge Pumps</t>
  </si>
  <si>
    <t>EPIRB</t>
  </si>
  <si>
    <t>Jacklines</t>
  </si>
  <si>
    <t>Tenders</t>
  </si>
  <si>
    <t>Registration/MMSI</t>
  </si>
  <si>
    <t>Winches</t>
  </si>
  <si>
    <t>Tools And Spares</t>
  </si>
  <si>
    <t>Spares/Consumables</t>
  </si>
  <si>
    <t>Projects</t>
  </si>
  <si>
    <t>Economic</t>
  </si>
  <si>
    <t>PASS</t>
  </si>
  <si>
    <t>Antifouling</t>
  </si>
  <si>
    <t>→</t>
  </si>
  <si>
    <t>Mast, Spreaders And Boom</t>
  </si>
  <si>
    <t>Stackpack/Lazy Jacks</t>
  </si>
  <si>
    <t>Designer</t>
  </si>
  <si>
    <t>Builder</t>
  </si>
  <si>
    <t>Model</t>
  </si>
  <si>
    <t>Year</t>
  </si>
  <si>
    <t>Performance</t>
  </si>
  <si>
    <t>Measurements</t>
  </si>
  <si>
    <t>SA/Disp</t>
  </si>
  <si>
    <t>Ttile</t>
  </si>
  <si>
    <t>Source 1</t>
  </si>
  <si>
    <t>Source 2</t>
  </si>
  <si>
    <t>Unknown</t>
  </si>
  <si>
    <t>Good</t>
  </si>
  <si>
    <t>Repair</t>
  </si>
  <si>
    <t>Dispose</t>
  </si>
  <si>
    <t>Davits</t>
  </si>
  <si>
    <t>💡</t>
  </si>
  <si>
    <t>10 kWh Battery LiFePo4</t>
  </si>
  <si>
    <t>Shore Power Connection 30A/110V</t>
  </si>
  <si>
    <t>Medical Kit</t>
  </si>
  <si>
    <t>Liferings, Buoys, Throwline</t>
  </si>
  <si>
    <t>Lifewests</t>
  </si>
  <si>
    <t>Horn</t>
  </si>
  <si>
    <t>Engine Fire Suppression System</t>
  </si>
  <si>
    <t>CO and Propane Alarms</t>
  </si>
  <si>
    <t>Engine Ventilation</t>
  </si>
  <si>
    <t>Custom</t>
  </si>
  <si>
    <t>Disp/Length</t>
  </si>
  <si>
    <t>Comfort Ratio</t>
  </si>
  <si>
    <t>Capsize Screening Formula</t>
  </si>
  <si>
    <t>Source 3</t>
  </si>
  <si>
    <t>Classification</t>
  </si>
  <si>
    <t>Rig</t>
  </si>
  <si>
    <t>Cockpit</t>
  </si>
  <si>
    <t>Bow</t>
  </si>
  <si>
    <t>Gelcoat/Paint</t>
  </si>
  <si>
    <t>Shunt</t>
  </si>
  <si>
    <t>Battery monotoring system</t>
  </si>
  <si>
    <t>Incl shunt</t>
  </si>
  <si>
    <t>Shunt/Installation</t>
  </si>
  <si>
    <t>Victron smart shunt</t>
  </si>
  <si>
    <t>none, using from inverter</t>
  </si>
  <si>
    <t>Monitor (used for solar/battery monitoring)</t>
  </si>
  <si>
    <t>victron smart shunt</t>
  </si>
  <si>
    <t>State</t>
  </si>
  <si>
    <t>ItemState</t>
  </si>
  <si>
    <t>Replace</t>
  </si>
  <si>
    <t>Comment</t>
  </si>
  <si>
    <t>AssesmentTargets</t>
  </si>
  <si>
    <t>Override</t>
  </si>
  <si>
    <t>?</t>
  </si>
  <si>
    <t>Cond</t>
  </si>
  <si>
    <t>Qualification</t>
  </si>
  <si>
    <t>Build Quality</t>
  </si>
  <si>
    <t>Overall Condition</t>
  </si>
  <si>
    <t>Seawothiness</t>
  </si>
  <si>
    <t>Comfort And Accomodations</t>
  </si>
  <si>
    <t>Ease Of Handling</t>
  </si>
  <si>
    <t>Equipment And Inventory</t>
  </si>
  <si>
    <t>Aesthetics</t>
  </si>
  <si>
    <t>Maintenance History</t>
  </si>
  <si>
    <t>Previous Owner</t>
  </si>
  <si>
    <t>Gidyness Factor</t>
  </si>
  <si>
    <t>ft</t>
  </si>
  <si>
    <t>kg</t>
  </si>
  <si>
    <t>Assesment</t>
  </si>
  <si>
    <t>Safety</t>
  </si>
  <si>
    <t>Subjective</t>
  </si>
  <si>
    <t>Hull Survey</t>
  </si>
  <si>
    <t>Engine Survey</t>
  </si>
  <si>
    <t>Asking Price</t>
  </si>
  <si>
    <t>Sales Price</t>
  </si>
  <si>
    <t>ASKING PRICE</t>
  </si>
  <si>
    <t>INVESTMENT</t>
  </si>
  <si>
    <t>Assesment Target</t>
  </si>
  <si>
    <t>Agent Fees</t>
  </si>
  <si>
    <t>per ft</t>
  </si>
  <si>
    <t>Haulout</t>
  </si>
  <si>
    <t>overall</t>
  </si>
  <si>
    <t>Qualifications</t>
  </si>
  <si>
    <t>Scores</t>
  </si>
  <si>
    <t>Seaworthiness</t>
  </si>
  <si>
    <t>Resale Value</t>
  </si>
  <si>
    <t>Value</t>
  </si>
  <si>
    <t>Relative Price</t>
  </si>
  <si>
    <t>Hull Material</t>
  </si>
  <si>
    <t>🦶</t>
  </si>
  <si>
    <t>P</t>
  </si>
  <si>
    <t>Price by foot LOA</t>
  </si>
  <si>
    <t>Could be replaced by a project item below</t>
  </si>
  <si>
    <t>Ground Tackle →</t>
  </si>
  <si>
    <t>Windlass →</t>
  </si>
  <si>
    <t>Standing Rigging →</t>
  </si>
  <si>
    <t>Furling Systems →</t>
  </si>
  <si>
    <t>Running Rigging →</t>
  </si>
  <si>
    <t>Sails →</t>
  </si>
  <si>
    <t>Blocks, Tracks →</t>
  </si>
  <si>
    <t>Dodger →</t>
  </si>
  <si>
    <t>Bimini/Hardtop →</t>
  </si>
  <si>
    <t>Solar Arch →</t>
  </si>
  <si>
    <t>Awning →</t>
  </si>
  <si>
    <t>Shore Power Connection →</t>
  </si>
  <si>
    <t>House Battery Bank 💡</t>
  </si>
  <si>
    <t>Solar System 💡</t>
  </si>
  <si>
    <t>Alternator Charging 💡</t>
  </si>
  <si>
    <t>Dinghy →</t>
  </si>
  <si>
    <t>Outboard →</t>
  </si>
  <si>
    <t>Power Tools →</t>
  </si>
  <si>
    <t>Mechanical Tools →</t>
  </si>
  <si>
    <t>Sewing Kit →</t>
  </si>
  <si>
    <t>General Mechanical Spares →</t>
  </si>
  <si>
    <t>Electric Installation Spares →</t>
  </si>
  <si>
    <t>Repair/Maintenance/Cleaning Spares →</t>
  </si>
  <si>
    <t>Rigging Spares →</t>
  </si>
  <si>
    <t>Engine And Drive Train Spares →</t>
  </si>
  <si>
    <t>Outboard Spares →</t>
  </si>
  <si>
    <t>Generator Spares →</t>
  </si>
  <si>
    <t>Consumables →</t>
  </si>
  <si>
    <t>Fixed Solar System 1kW →</t>
  </si>
  <si>
    <t>Removeable Solar System 1kW →</t>
  </si>
  <si>
    <t>High Output Alternator →</t>
  </si>
  <si>
    <t>10 kWh House Batteries →</t>
  </si>
  <si>
    <t>Inverter And Battery Charger →</t>
  </si>
  <si>
    <t>Windlass Dedicated Battery →</t>
  </si>
  <si>
    <t>Working Computer →</t>
  </si>
  <si>
    <t>DIY Tools →</t>
  </si>
  <si>
    <t>Dry Cabinet →</t>
  </si>
  <si>
    <t>Dinghy Accessories / Upgrades →</t>
  </si>
  <si>
    <t>Progressive price based on 40ft LOA</t>
  </si>
  <si>
    <t>Has a calculation in another sheet</t>
  </si>
  <si>
    <t>Pedestral/Wheel</t>
  </si>
  <si>
    <t>Prop Shaft, Packing, Cutlass Bearing</t>
  </si>
  <si>
    <t>AC Cabling, Fuses, Outlets, Switchboard</t>
  </si>
  <si>
    <t>Inverter 💡</t>
  </si>
  <si>
    <t>AC Charger 💡</t>
  </si>
  <si>
    <t>Battery Monitoring 💡</t>
  </si>
  <si>
    <t>Hot Water Calorifier</t>
  </si>
  <si>
    <t>Instruments: Depth, Speed</t>
  </si>
  <si>
    <t>Wind Instrument</t>
  </si>
  <si>
    <t>System Spare Parts</t>
  </si>
  <si>
    <t>Autopilot Maintenance Kit</t>
  </si>
  <si>
    <t>Generator Spare Parts</t>
  </si>
  <si>
    <t>Holding Tank</t>
  </si>
  <si>
    <t>Head</t>
  </si>
  <si>
    <t>Shower</t>
  </si>
  <si>
    <t>PERSONAL</t>
  </si>
  <si>
    <t>275N x2</t>
  </si>
  <si>
    <t>170N x2</t>
  </si>
  <si>
    <t>170N/275N</t>
  </si>
  <si>
    <t>Jacket/Pants/Gloves</t>
  </si>
  <si>
    <t>Inflatable Lifewest</t>
  </si>
  <si>
    <t>Tropical Raingear</t>
  </si>
  <si>
    <t>Hiking Pants/Jacket Combo</t>
  </si>
  <si>
    <t>Poncho</t>
  </si>
  <si>
    <t>Personal</t>
  </si>
  <si>
    <t>Personal Items →</t>
  </si>
  <si>
    <t>Kayak, Paddleboard, etc</t>
  </si>
  <si>
    <t>Location</t>
  </si>
  <si>
    <t>Boat Name</t>
  </si>
  <si>
    <t>Vagabond 42</t>
  </si>
  <si>
    <t>Kaimi</t>
  </si>
  <si>
    <t>Rio Dulce, Guatemala</t>
  </si>
  <si>
    <t>Blue Water Yacht Builders (TAIWAN)</t>
  </si>
  <si>
    <t>George H. Stadel III</t>
  </si>
  <si>
    <t>Data</t>
  </si>
  <si>
    <t>https://sailboatdata.com/sailboat/vagabond-42/</t>
  </si>
  <si>
    <t>Lightship Displacement</t>
  </si>
  <si>
    <t>Beam</t>
  </si>
  <si>
    <t>LOA</t>
  </si>
  <si>
    <t>Modifiede Full Keel</t>
  </si>
  <si>
    <t>Skeg-Hung</t>
  </si>
  <si>
    <t>Cutter-Ketch</t>
  </si>
  <si>
    <t>Center</t>
  </si>
  <si>
    <t>Full Bow w/ Bowsprit ~1.5m</t>
  </si>
  <si>
    <t>Stern</t>
  </si>
  <si>
    <t>Traditional</t>
  </si>
  <si>
    <t>l</t>
  </si>
  <si>
    <t>Fuel Capacity</t>
  </si>
  <si>
    <t>Water Capacity</t>
  </si>
  <si>
    <t>USD</t>
  </si>
  <si>
    <t>Parameters</t>
  </si>
  <si>
    <t>Default Asking Price Subtraction</t>
  </si>
  <si>
    <t>h</t>
  </si>
  <si>
    <t>Engine Hours</t>
  </si>
  <si>
    <t>Ford Lehman 592E, 65HP</t>
  </si>
  <si>
    <t>Missing</t>
  </si>
  <si>
    <t>Required</t>
  </si>
  <si>
    <t>Old Furono BW</t>
  </si>
  <si>
    <t>SSB</t>
  </si>
  <si>
    <t>Communication</t>
  </si>
  <si>
    <t>Handheld VHF</t>
  </si>
  <si>
    <t>Compass</t>
  </si>
  <si>
    <t>Diesel Jerry Cans On Deck</t>
  </si>
  <si>
    <t>Ignore</t>
  </si>
  <si>
    <t>Cost</t>
  </si>
  <si>
    <t>Improve</t>
  </si>
  <si>
    <t>Install</t>
  </si>
  <si>
    <t>First Year Liability Insurance</t>
  </si>
  <si>
    <t>First Year Hull Insurance</t>
  </si>
  <si>
    <t>300-800</t>
  </si>
  <si>
    <t>1000-2000@80k</t>
  </si>
  <si>
    <t>Chartplotter Cockpit</t>
  </si>
  <si>
    <t>Chartplotter Navdesk</t>
  </si>
  <si>
    <t>Work Computer</t>
  </si>
  <si>
    <t>Monitor</t>
  </si>
  <si>
    <t>Navigationg Computer →</t>
  </si>
  <si>
    <t>After std. ded.</t>
  </si>
  <si>
    <t>Reduction from asking price</t>
  </si>
  <si>
    <t>Draft Min/Max</t>
  </si>
  <si>
    <t>1982 Vagabond 42 - Rio Dulce, Guatemala</t>
  </si>
  <si>
    <t xml:space="preserve">https://www.sailboatsforsale.com/listings/guatemala/guatemala/1982-vagabond-42-kaimi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</si>
</sst>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7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2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9" fontId="1" fillId="0" borderId="0" applyFont="0" applyFill="0" applyBorder="0" applyAlignment="0" applyProtection="0"/>
    <xf numFmtId="0" fontId="1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27">
    <xf numFmtId="0" fontId="0" fillId="0" borderId="0" xfId="0"/>
    <xf numFmtId="44" fontId="0" fillId="0" borderId="0" xfId="2" applyFont="1"/>
    <xf numFmtId="0" fontId="0" fillId="0" borderId="0" xfId="0" applyAlignment="1">
      <alignment horizontal="right" vertical="top" wrapText="1"/>
    </xf>
    <xf numFmtId="0" fontId="6" fillId="0" borderId="0" xfId="0" applyFont="1"/>
    <xf numFmtId="44" fontId="0" fillId="6" borderId="3" xfId="2" applyFont="1" applyFill="1" applyBorder="1"/>
    <xf numFmtId="0" fontId="0" fillId="6" borderId="3" xfId="0" applyFill="1" applyBorder="1"/>
    <xf numFmtId="44" fontId="0" fillId="7" borderId="3" xfId="2" applyFont="1" applyFill="1" applyBorder="1"/>
    <xf numFmtId="0" fontId="0" fillId="7" borderId="3" xfId="0" applyFill="1" applyBorder="1"/>
    <xf numFmtId="43" fontId="0" fillId="0" borderId="3" xfId="1" applyFont="1" applyFill="1" applyBorder="1" applyAlignment="1">
      <alignment horizontal="center"/>
    </xf>
    <xf numFmtId="44" fontId="3" fillId="0" borderId="0" xfId="0" applyNumberFormat="1" applyFont="1"/>
    <xf numFmtId="0" fontId="0" fillId="0" borderId="8" xfId="0" applyBorder="1"/>
    <xf numFmtId="0" fontId="0" fillId="0" borderId="10" xfId="0" applyBorder="1"/>
    <xf numFmtId="0" fontId="0" fillId="8" borderId="0" xfId="0" applyFill="1"/>
    <xf numFmtId="0" fontId="0" fillId="0" borderId="3" xfId="0" applyBorder="1"/>
    <xf numFmtId="0" fontId="0" fillId="0" borderId="3" xfId="0" applyBorder="1" applyAlignment="1">
      <alignment horizontal="right" vertical="top" wrapText="1"/>
    </xf>
    <xf numFmtId="0" fontId="0" fillId="8" borderId="3" xfId="0" applyFill="1" applyBorder="1"/>
    <xf numFmtId="0" fontId="3" fillId="8" borderId="3" xfId="0" applyFont="1" applyFill="1" applyBorder="1"/>
    <xf numFmtId="0" fontId="0" fillId="8" borderId="5" xfId="0" applyFill="1" applyBorder="1"/>
    <xf numFmtId="44" fontId="0" fillId="6" borderId="12" xfId="2" applyFont="1" applyFill="1" applyBorder="1"/>
    <xf numFmtId="44" fontId="0" fillId="7" borderId="12" xfId="2" applyFont="1" applyFill="1" applyBorder="1"/>
    <xf numFmtId="0" fontId="5" fillId="9" borderId="0" xfId="0" applyFont="1" applyFill="1"/>
    <xf numFmtId="0" fontId="4" fillId="9" borderId="0" xfId="0" applyFont="1" applyFill="1"/>
    <xf numFmtId="0" fontId="4" fillId="9" borderId="3" xfId="0" applyFont="1" applyFill="1" applyBorder="1"/>
    <xf numFmtId="0" fontId="0" fillId="0" borderId="12" xfId="0" applyBorder="1"/>
    <xf numFmtId="0" fontId="0" fillId="0" borderId="13" xfId="0" applyBorder="1"/>
    <xf numFmtId="0" fontId="0" fillId="0" borderId="9" xfId="0" applyBorder="1"/>
    <xf numFmtId="44" fontId="1" fillId="4" borderId="3" xfId="5" applyNumberFormat="1" applyBorder="1"/>
    <xf numFmtId="0" fontId="1" fillId="4" borderId="3" xfId="5" applyBorder="1"/>
    <xf numFmtId="0" fontId="0" fillId="8" borderId="12" xfId="0" applyFill="1" applyBorder="1"/>
    <xf numFmtId="44" fontId="1" fillId="4" borderId="12" xfId="5" applyNumberFormat="1" applyBorder="1"/>
    <xf numFmtId="0" fontId="0" fillId="8" borderId="4" xfId="0" applyFill="1" applyBorder="1"/>
    <xf numFmtId="44" fontId="3" fillId="6" borderId="4" xfId="2" applyFont="1" applyFill="1" applyBorder="1"/>
    <xf numFmtId="44" fontId="3" fillId="7" borderId="4" xfId="2" applyFont="1" applyFill="1" applyBorder="1"/>
    <xf numFmtId="44" fontId="3" fillId="4" borderId="4" xfId="5" applyNumberFormat="1" applyFont="1" applyBorder="1"/>
    <xf numFmtId="44" fontId="0" fillId="6" borderId="13" xfId="2" applyFont="1" applyFill="1" applyBorder="1"/>
    <xf numFmtId="44" fontId="0" fillId="7" borderId="13" xfId="2" applyFont="1" applyFill="1" applyBorder="1"/>
    <xf numFmtId="44" fontId="1" fillId="4" borderId="13" xfId="5" applyNumberFormat="1" applyBorder="1"/>
    <xf numFmtId="43" fontId="1" fillId="0" borderId="6" xfId="1" applyFont="1" applyFill="1" applyBorder="1" applyAlignment="1">
      <alignment horizontal="center"/>
    </xf>
    <xf numFmtId="0" fontId="1" fillId="0" borderId="0" xfId="0" applyFont="1"/>
    <xf numFmtId="44" fontId="1" fillId="6" borderId="6" xfId="2" applyFont="1" applyFill="1" applyBorder="1"/>
    <xf numFmtId="44" fontId="1" fillId="6" borderId="11" xfId="2" applyFont="1" applyFill="1" applyBorder="1"/>
    <xf numFmtId="44" fontId="1" fillId="6" borderId="14" xfId="2" applyFont="1" applyFill="1" applyBorder="1"/>
    <xf numFmtId="44" fontId="1" fillId="6" borderId="15" xfId="2" applyFont="1" applyFill="1" applyBorder="1"/>
    <xf numFmtId="0" fontId="1" fillId="6" borderId="6" xfId="0" applyFont="1" applyFill="1" applyBorder="1"/>
    <xf numFmtId="0" fontId="1" fillId="0" borderId="8" xfId="0" applyFont="1" applyBorder="1"/>
    <xf numFmtId="9" fontId="1" fillId="0" borderId="0" xfId="4" applyFont="1" applyBorder="1"/>
    <xf numFmtId="0" fontId="1" fillId="0" borderId="10" xfId="0" applyFont="1" applyBorder="1"/>
    <xf numFmtId="43" fontId="1" fillId="0" borderId="3" xfId="1" applyFont="1" applyFill="1" applyBorder="1" applyAlignment="1">
      <alignment horizontal="center"/>
    </xf>
    <xf numFmtId="44" fontId="1" fillId="7" borderId="3" xfId="2" applyFont="1" applyFill="1" applyBorder="1"/>
    <xf numFmtId="44" fontId="1" fillId="7" borderId="12" xfId="2" applyFont="1" applyFill="1" applyBorder="1"/>
    <xf numFmtId="44" fontId="1" fillId="7" borderId="4" xfId="2" applyFont="1" applyFill="1" applyBorder="1"/>
    <xf numFmtId="44" fontId="1" fillId="7" borderId="13" xfId="2" applyFont="1" applyFill="1" applyBorder="1"/>
    <xf numFmtId="0" fontId="1" fillId="7" borderId="3" xfId="0" applyFont="1" applyFill="1" applyBorder="1"/>
    <xf numFmtId="44" fontId="1" fillId="4" borderId="4" xfId="5" applyNumberFormat="1" applyBorder="1"/>
    <xf numFmtId="0" fontId="7" fillId="8" borderId="3" xfId="0" applyFont="1" applyFill="1" applyBorder="1"/>
    <xf numFmtId="44" fontId="8" fillId="4" borderId="3" xfId="5" applyNumberFormat="1" applyFont="1" applyBorder="1"/>
    <xf numFmtId="44" fontId="9" fillId="4" borderId="3" xfId="5" applyNumberFormat="1" applyFont="1" applyBorder="1"/>
    <xf numFmtId="44" fontId="0" fillId="6" borderId="0" xfId="2" applyFont="1" applyFill="1"/>
    <xf numFmtId="44" fontId="0" fillId="7" borderId="0" xfId="2" applyFont="1" applyFill="1"/>
    <xf numFmtId="44" fontId="0" fillId="5" borderId="0" xfId="2" applyFont="1" applyFill="1"/>
    <xf numFmtId="0" fontId="12" fillId="0" borderId="0" xfId="0" applyFont="1"/>
    <xf numFmtId="0" fontId="12" fillId="8" borderId="0" xfId="0" applyFont="1" applyFill="1"/>
    <xf numFmtId="0" fontId="12" fillId="8" borderId="0" xfId="0" applyFont="1" applyFill="1" applyAlignment="1">
      <alignment horizontal="center"/>
    </xf>
    <xf numFmtId="0" fontId="2" fillId="2" borderId="1" xfId="3"/>
    <xf numFmtId="0" fontId="0" fillId="0" borderId="0" xfId="0" applyAlignment="1">
      <alignment horizontal="center"/>
    </xf>
    <xf numFmtId="0" fontId="0" fillId="11" borderId="0" xfId="0" applyFill="1"/>
    <xf numFmtId="0" fontId="12" fillId="11" borderId="0" xfId="0" applyFont="1" applyFill="1"/>
    <xf numFmtId="44" fontId="0" fillId="11" borderId="0" xfId="2" applyFont="1" applyFill="1"/>
    <xf numFmtId="0" fontId="0" fillId="7" borderId="0" xfId="0" applyFill="1" applyAlignment="1">
      <alignment horizontal="center"/>
    </xf>
    <xf numFmtId="44" fontId="2" fillId="2" borderId="1" xfId="2" applyFont="1" applyFill="1" applyBorder="1"/>
    <xf numFmtId="44" fontId="0" fillId="10" borderId="0" xfId="2" applyFont="1" applyFill="1" applyAlignment="1">
      <alignment horizontal="center"/>
    </xf>
    <xf numFmtId="0" fontId="13" fillId="0" borderId="0" xfId="0" applyFont="1"/>
    <xf numFmtId="9" fontId="2" fillId="2" borderId="1" xfId="4" applyFont="1" applyFill="1" applyBorder="1" applyAlignment="1">
      <alignment horizontal="center"/>
    </xf>
    <xf numFmtId="44" fontId="13" fillId="3" borderId="1" xfId="2" applyFont="1" applyFill="1" applyBorder="1" applyAlignment="1">
      <alignment horizontal="right"/>
    </xf>
    <xf numFmtId="0" fontId="0" fillId="0" borderId="0" xfId="0" applyAlignment="1">
      <alignment horizontal="left"/>
    </xf>
    <xf numFmtId="0" fontId="14" fillId="0" borderId="0" xfId="0" applyFont="1"/>
    <xf numFmtId="44" fontId="0" fillId="0" borderId="0" xfId="2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1" fontId="3" fillId="0" borderId="0" xfId="0" applyNumberFormat="1" applyFont="1"/>
    <xf numFmtId="1" fontId="3" fillId="0" borderId="0" xfId="0" applyNumberFormat="1" applyFont="1" applyAlignment="1">
      <alignment horizontal="center"/>
    </xf>
    <xf numFmtId="44" fontId="3" fillId="0" borderId="0" xfId="2" applyFont="1" applyAlignment="1">
      <alignment horizontal="center"/>
    </xf>
    <xf numFmtId="1" fontId="16" fillId="0" borderId="0" xfId="0" applyNumberFormat="1" applyFont="1" applyAlignment="1">
      <alignment horizontal="center"/>
    </xf>
    <xf numFmtId="44" fontId="0" fillId="0" borderId="0" xfId="0" applyNumberFormat="1"/>
    <xf numFmtId="44" fontId="2" fillId="2" borderId="1" xfId="2" applyFont="1" applyFill="1" applyBorder="1" applyAlignment="1">
      <alignment horizontal="left"/>
    </xf>
    <xf numFmtId="44" fontId="2" fillId="2" borderId="0" xfId="2" applyFont="1" applyFill="1" applyBorder="1" applyAlignment="1">
      <alignment horizontal="left"/>
    </xf>
    <xf numFmtId="9" fontId="2" fillId="2" borderId="0" xfId="4" applyFont="1" applyFill="1" applyBorder="1" applyAlignment="1">
      <alignment horizontal="right"/>
    </xf>
    <xf numFmtId="44" fontId="15" fillId="0" borderId="0" xfId="2" applyFont="1"/>
    <xf numFmtId="0" fontId="3" fillId="0" borderId="0" xfId="0" applyFont="1" applyAlignment="1">
      <alignment horizontal="center"/>
    </xf>
    <xf numFmtId="166" fontId="13" fillId="3" borderId="1" xfId="2" applyNumberFormat="1" applyFont="1" applyFill="1" applyBorder="1" applyAlignment="1">
      <alignment horizontal="right"/>
    </xf>
    <xf numFmtId="166" fontId="3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4" fontId="2" fillId="2" borderId="1" xfId="1" applyNumberFormat="1" applyFont="1" applyFill="1" applyBorder="1" applyAlignment="1">
      <alignment horizontal="left"/>
    </xf>
    <xf numFmtId="166" fontId="2" fillId="2" borderId="1" xfId="1" applyNumberFormat="1" applyFont="1" applyFill="1" applyBorder="1" applyAlignment="1">
      <alignment horizontal="right"/>
    </xf>
    <xf numFmtId="2" fontId="2" fillId="2" borderId="1" xfId="1" applyNumberFormat="1" applyFont="1" applyFill="1" applyBorder="1" applyAlignment="1">
      <alignment horizontal="right"/>
    </xf>
    <xf numFmtId="9" fontId="2" fillId="2" borderId="1" xfId="4" applyFont="1" applyFill="1" applyBorder="1" applyAlignment="1">
      <alignment horizontal="right"/>
    </xf>
    <xf numFmtId="14" fontId="2" fillId="2" borderId="0" xfId="2" applyNumberFormat="1" applyFont="1" applyFill="1" applyBorder="1" applyAlignment="1">
      <alignment horizontal="left"/>
    </xf>
    <xf numFmtId="9" fontId="0" fillId="0" borderId="0" xfId="4" applyFont="1" applyAlignment="1">
      <alignment horizontal="center"/>
    </xf>
    <xf numFmtId="44" fontId="13" fillId="3" borderId="1" xfId="2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44" fontId="3" fillId="0" borderId="18" xfId="0" applyNumberFormat="1" applyFont="1" applyBorder="1" applyAlignment="1">
      <alignment horizontal="center"/>
    </xf>
    <xf numFmtId="44" fontId="0" fillId="11" borderId="0" xfId="2" applyFont="1" applyFill="1" applyAlignment="1">
      <alignment horizontal="center"/>
    </xf>
    <xf numFmtId="43" fontId="21" fillId="0" borderId="0" xfId="1" applyFont="1" applyAlignment="1">
      <alignment horizontal="center"/>
    </xf>
    <xf numFmtId="0" fontId="17" fillId="0" borderId="0" xfId="6"/>
    <xf numFmtId="1" fontId="20" fillId="0" borderId="0" xfId="0" applyNumberFormat="1" applyFont="1" applyAlignment="1">
      <alignment horizontal="right"/>
    </xf>
    <xf numFmtId="10" fontId="13" fillId="3" borderId="1" xfId="4" applyNumberFormat="1" applyFont="1" applyFill="1" applyBorder="1" applyAlignment="1">
      <alignment horizontal="right"/>
    </xf>
    <xf numFmtId="0" fontId="2" fillId="2" borderId="16" xfId="3" applyBorder="1" applyAlignment="1">
      <alignment horizontal="left"/>
    </xf>
    <xf numFmtId="0" fontId="2" fillId="2" borderId="17" xfId="3" applyBorder="1" applyAlignment="1">
      <alignment horizontal="left"/>
    </xf>
    <xf numFmtId="0" fontId="2" fillId="2" borderId="16" xfId="3" applyBorder="1" applyAlignment="1"/>
    <xf numFmtId="0" fontId="2" fillId="2" borderId="17" xfId="3" applyBorder="1" applyAlignment="1"/>
    <xf numFmtId="44" fontId="0" fillId="0" borderId="0" xfId="2" applyFont="1"/>
    <xf numFmtId="0" fontId="17" fillId="2" borderId="16" xfId="6" applyFill="1" applyBorder="1" applyAlignment="1">
      <alignment horizontal="left"/>
    </xf>
    <xf numFmtId="0" fontId="22" fillId="2" borderId="16" xfId="3" applyFont="1" applyBorder="1" applyAlignment="1">
      <alignment horizontal="left"/>
    </xf>
    <xf numFmtId="0" fontId="22" fillId="2" borderId="17" xfId="3" applyFont="1" applyBorder="1" applyAlignment="1">
      <alignment horizontal="left"/>
    </xf>
    <xf numFmtId="44" fontId="0" fillId="6" borderId="5" xfId="2" applyFont="1" applyFill="1" applyBorder="1" applyAlignment="1">
      <alignment horizontal="center" vertical="center"/>
    </xf>
    <xf numFmtId="44" fontId="0" fillId="6" borderId="6" xfId="2" applyFont="1" applyFill="1" applyBorder="1" applyAlignment="1">
      <alignment horizontal="center" vertical="center"/>
    </xf>
    <xf numFmtId="44" fontId="0" fillId="7" borderId="5" xfId="2" applyFont="1" applyFill="1" applyBorder="1" applyAlignment="1">
      <alignment horizontal="center" vertical="center"/>
    </xf>
    <xf numFmtId="44" fontId="0" fillId="7" borderId="6" xfId="2" applyFont="1" applyFill="1" applyBorder="1" applyAlignment="1">
      <alignment horizontal="center" vertical="center"/>
    </xf>
    <xf numFmtId="44" fontId="1" fillId="4" borderId="7" xfId="5" applyNumberFormat="1" applyBorder="1" applyAlignment="1">
      <alignment horizontal="center" vertical="center"/>
    </xf>
    <xf numFmtId="44" fontId="1" fillId="4" borderId="2" xfId="5" applyNumberFormat="1" applyBorder="1" applyAlignment="1">
      <alignment horizontal="center" vertical="center"/>
    </xf>
    <xf numFmtId="166" fontId="2" fillId="2" borderId="19" xfId="1" applyNumberFormat="1" applyFont="1" applyFill="1" applyBorder="1" applyAlignment="1">
      <alignment horizontal="right"/>
    </xf>
    <xf numFmtId="166" fontId="2" fillId="2" borderId="20" xfId="1" applyNumberFormat="1" applyFont="1" applyFill="1" applyBorder="1" applyAlignment="1">
      <alignment horizontal="right"/>
    </xf>
    <xf numFmtId="44" fontId="13" fillId="3" borderId="19" xfId="2" applyFont="1" applyFill="1" applyBorder="1" applyAlignment="1">
      <alignment horizontal="right"/>
    </xf>
    <xf numFmtId="0" fontId="2" fillId="2" borderId="20" xfId="3" applyBorder="1"/>
    <xf numFmtId="0" fontId="0" fillId="0" borderId="0" xfId="0" applyAlignment="1">
      <alignment horizontal="center" textRotation="90"/>
    </xf>
  </cellXfs>
  <cellStyles count="7">
    <cellStyle name="20% - Accent4" xfId="5" builtinId="42"/>
    <cellStyle name="Comma" xfId="1" builtinId="3"/>
    <cellStyle name="Currency" xfId="2" builtinId="4"/>
    <cellStyle name="Hyperlink" xfId="6" builtinId="8"/>
    <cellStyle name="Input" xfId="3" builtinId="20"/>
    <cellStyle name="Normal" xfId="0" builtinId="0"/>
    <cellStyle name="Percent" xfId="4" builtinId="5"/>
  </cellStyles>
  <dxfs count="384"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rgb="FFFFB3B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5FF"/>
      <color rgb="FFFFCCFF"/>
      <color rgb="FFFFABAB"/>
      <color rgb="FFFF9F9F"/>
      <color rgb="FFE8E8E8"/>
      <color rgb="FFDDDDDD"/>
      <color rgb="FFFFEEB7"/>
      <color rgb="FFFFE389"/>
      <color rgb="FFFFB3B3"/>
      <color rgb="FFFFA3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sv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182219</xdr:rowOff>
    </xdr:from>
    <xdr:to>
      <xdr:col>13</xdr:col>
      <xdr:colOff>601731</xdr:colOff>
      <xdr:row>36</xdr:row>
      <xdr:rowOff>173867</xdr:rowOff>
    </xdr:to>
    <xdr:pic>
      <xdr:nvPicPr>
        <xdr:cNvPr id="2" name="Picture 1" descr="VAGABOND 42">
          <a:extLst>
            <a:ext uri="{FF2B5EF4-FFF2-40B4-BE49-F238E27FC236}">
              <a16:creationId xmlns:a16="http://schemas.microsoft.com/office/drawing/2014/main" id="{A7B0E062-5D0E-22F8-FAF0-83909F9CF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021" y="182219"/>
          <a:ext cx="5847522" cy="68769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33130</xdr:colOff>
      <xdr:row>153</xdr:row>
      <xdr:rowOff>49696</xdr:rowOff>
    </xdr:from>
    <xdr:to>
      <xdr:col>2</xdr:col>
      <xdr:colOff>49695</xdr:colOff>
      <xdr:row>155</xdr:row>
      <xdr:rowOff>74544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9D1B487-9D69-430A-AAE5-BCB72C6D0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44826721"/>
          <a:ext cx="407090" cy="405848"/>
        </a:xfrm>
        <a:prstGeom prst="rect">
          <a:avLst/>
        </a:prstGeom>
      </xdr:spPr>
    </xdr:pic>
    <xdr:clientData/>
  </xdr:twoCellAnchor>
  <xdr:twoCellAnchor editAs="oneCell">
    <xdr:from>
      <xdr:col>1</xdr:col>
      <xdr:colOff>16565</xdr:colOff>
      <xdr:row>115</xdr:row>
      <xdr:rowOff>41412</xdr:rowOff>
    </xdr:from>
    <xdr:to>
      <xdr:col>1</xdr:col>
      <xdr:colOff>381001</xdr:colOff>
      <xdr:row>117</xdr:row>
      <xdr:rowOff>24848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49763FA-7F4B-488E-B68A-FCB0D7D94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7579437"/>
          <a:ext cx="364436" cy="364436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121</xdr:row>
      <xdr:rowOff>190500</xdr:rowOff>
    </xdr:from>
    <xdr:to>
      <xdr:col>1</xdr:col>
      <xdr:colOff>372718</xdr:colOff>
      <xdr:row>123</xdr:row>
      <xdr:rowOff>173935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3D3EBF-BF81-4635-A172-66ABDDE73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8871525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24848</xdr:colOff>
      <xdr:row>147</xdr:row>
      <xdr:rowOff>99391</xdr:rowOff>
    </xdr:from>
    <xdr:to>
      <xdr:col>2</xdr:col>
      <xdr:colOff>8283</xdr:colOff>
      <xdr:row>149</xdr:row>
      <xdr:rowOff>91109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2FCF3CD-214C-4F15-AD6D-9FC9A274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48" y="43733416"/>
          <a:ext cx="373960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157369</xdr:colOff>
      <xdr:row>107</xdr:row>
      <xdr:rowOff>149087</xdr:rowOff>
    </xdr:from>
    <xdr:to>
      <xdr:col>2</xdr:col>
      <xdr:colOff>33129</xdr:colOff>
      <xdr:row>110</xdr:row>
      <xdr:rowOff>33130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8BB23C-AE26-4D03-BD00-AC7114671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69" y="36163112"/>
          <a:ext cx="456785" cy="455543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103</xdr:row>
      <xdr:rowOff>190500</xdr:rowOff>
    </xdr:from>
    <xdr:to>
      <xdr:col>2</xdr:col>
      <xdr:colOff>0</xdr:colOff>
      <xdr:row>106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B585586-3C9B-461D-AA82-026E52A75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5442525"/>
          <a:ext cx="382242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8284</xdr:colOff>
      <xdr:row>96</xdr:row>
      <xdr:rowOff>57978</xdr:rowOff>
    </xdr:from>
    <xdr:to>
      <xdr:col>1</xdr:col>
      <xdr:colOff>372719</xdr:colOff>
      <xdr:row>98</xdr:row>
      <xdr:rowOff>41413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C24AF90-162D-4727-B3B5-6F4904ABB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4" y="33976503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8282</xdr:colOff>
      <xdr:row>90</xdr:row>
      <xdr:rowOff>74544</xdr:rowOff>
    </xdr:from>
    <xdr:to>
      <xdr:col>1</xdr:col>
      <xdr:colOff>381000</xdr:colOff>
      <xdr:row>92</xdr:row>
      <xdr:rowOff>66262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8B291B9-4DF4-41BE-A3BB-E0017796F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2" y="32850069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85</xdr:row>
      <xdr:rowOff>57977</xdr:rowOff>
    </xdr:from>
    <xdr:to>
      <xdr:col>1</xdr:col>
      <xdr:colOff>389282</xdr:colOff>
      <xdr:row>87</xdr:row>
      <xdr:rowOff>66260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F2F1FA3-9967-487E-9B9F-3C240D926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31881002"/>
          <a:ext cx="389283" cy="389283"/>
        </a:xfrm>
        <a:prstGeom prst="rect">
          <a:avLst/>
        </a:prstGeom>
      </xdr:spPr>
    </xdr:pic>
    <xdr:clientData/>
  </xdr:twoCellAnchor>
  <xdr:twoCellAnchor editAs="oneCell">
    <xdr:from>
      <xdr:col>1</xdr:col>
      <xdr:colOff>24849</xdr:colOff>
      <xdr:row>127</xdr:row>
      <xdr:rowOff>165652</xdr:rowOff>
    </xdr:from>
    <xdr:to>
      <xdr:col>1</xdr:col>
      <xdr:colOff>372719</xdr:colOff>
      <xdr:row>129</xdr:row>
      <xdr:rowOff>132522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6908416-D60E-4875-B11C-9514628D5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49" y="39989677"/>
          <a:ext cx="347870" cy="347870"/>
        </a:xfrm>
        <a:prstGeom prst="rect">
          <a:avLst/>
        </a:prstGeom>
      </xdr:spPr>
    </xdr:pic>
    <xdr:clientData/>
  </xdr:twoCellAnchor>
  <xdr:twoCellAnchor editAs="oneCell">
    <xdr:from>
      <xdr:col>0</xdr:col>
      <xdr:colOff>165653</xdr:colOff>
      <xdr:row>76</xdr:row>
      <xdr:rowOff>124239</xdr:rowOff>
    </xdr:from>
    <xdr:to>
      <xdr:col>2</xdr:col>
      <xdr:colOff>16567</xdr:colOff>
      <xdr:row>78</xdr:row>
      <xdr:rowOff>173936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2B149AC-AF8B-4B1F-A103-4221907EB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653" y="30232764"/>
          <a:ext cx="431939" cy="4306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190500</xdr:rowOff>
    </xdr:from>
    <xdr:to>
      <xdr:col>2</xdr:col>
      <xdr:colOff>33130</xdr:colOff>
      <xdr:row>56</xdr:row>
      <xdr:rowOff>41413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0A2B3C0-3B54-442D-8D74-8EB1803A5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917525"/>
          <a:ext cx="423655" cy="422413"/>
        </a:xfrm>
        <a:prstGeom prst="rect">
          <a:avLst/>
        </a:prstGeom>
      </xdr:spPr>
    </xdr:pic>
    <xdr:clientData/>
  </xdr:twoCellAnchor>
  <xdr:twoCellAnchor editAs="oneCell">
    <xdr:from>
      <xdr:col>1</xdr:col>
      <xdr:colOff>24850</xdr:colOff>
      <xdr:row>25</xdr:row>
      <xdr:rowOff>8284</xdr:rowOff>
    </xdr:from>
    <xdr:to>
      <xdr:col>2</xdr:col>
      <xdr:colOff>1</xdr:colOff>
      <xdr:row>26</xdr:row>
      <xdr:rowOff>182218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7073A1B-A915-4E93-8DE2-43AFBEA77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50" y="20401309"/>
          <a:ext cx="365676" cy="364434"/>
        </a:xfrm>
        <a:prstGeom prst="rect">
          <a:avLst/>
        </a:prstGeom>
      </xdr:spPr>
    </xdr:pic>
    <xdr:clientData/>
  </xdr:twoCellAnchor>
  <xdr:twoCellAnchor editAs="oneCell">
    <xdr:from>
      <xdr:col>1</xdr:col>
      <xdr:colOff>74542</xdr:colOff>
      <xdr:row>16</xdr:row>
      <xdr:rowOff>41412</xdr:rowOff>
    </xdr:from>
    <xdr:to>
      <xdr:col>1</xdr:col>
      <xdr:colOff>331303</xdr:colOff>
      <xdr:row>19</xdr:row>
      <xdr:rowOff>164298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EF8E9E3-A78A-4148-99E2-00B9BF18EB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63" r="31861"/>
        <a:stretch/>
      </xdr:blipFill>
      <xdr:spPr>
        <a:xfrm>
          <a:off x="265042" y="18719937"/>
          <a:ext cx="256761" cy="694386"/>
        </a:xfrm>
        <a:prstGeom prst="rect">
          <a:avLst/>
        </a:prstGeom>
      </xdr:spPr>
    </xdr:pic>
    <xdr:clientData/>
  </xdr:twoCellAnchor>
  <xdr:twoCellAnchor editAs="oneCell">
    <xdr:from>
      <xdr:col>1</xdr:col>
      <xdr:colOff>49698</xdr:colOff>
      <xdr:row>42</xdr:row>
      <xdr:rowOff>41414</xdr:rowOff>
    </xdr:from>
    <xdr:to>
      <xdr:col>1</xdr:col>
      <xdr:colOff>377020</xdr:colOff>
      <xdr:row>44</xdr:row>
      <xdr:rowOff>33131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F99B30C-3392-4AD4-BAE0-25EE0A298B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18360" r="23047" b="20702"/>
        <a:stretch/>
      </xdr:blipFill>
      <xdr:spPr>
        <a:xfrm>
          <a:off x="240198" y="23672939"/>
          <a:ext cx="327322" cy="372717"/>
        </a:xfrm>
        <a:prstGeom prst="rect">
          <a:avLst/>
        </a:prstGeom>
      </xdr:spPr>
    </xdr:pic>
    <xdr:clientData/>
  </xdr:twoCellAnchor>
  <xdr:twoCellAnchor editAs="oneCell">
    <xdr:from>
      <xdr:col>1</xdr:col>
      <xdr:colOff>8389</xdr:colOff>
      <xdr:row>32</xdr:row>
      <xdr:rowOff>33131</xdr:rowOff>
    </xdr:from>
    <xdr:to>
      <xdr:col>2</xdr:col>
      <xdr:colOff>13730</xdr:colOff>
      <xdr:row>35</xdr:row>
      <xdr:rowOff>49695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2E1D045-FD31-4DB3-9AB9-8232EADF72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22" t="-1" r="11879" b="-16250"/>
        <a:stretch/>
      </xdr:blipFill>
      <xdr:spPr>
        <a:xfrm>
          <a:off x="198889" y="21759656"/>
          <a:ext cx="395866" cy="588064"/>
        </a:xfrm>
        <a:prstGeom prst="rect">
          <a:avLst/>
        </a:prstGeom>
      </xdr:spPr>
    </xdr:pic>
    <xdr:clientData/>
  </xdr:twoCellAnchor>
  <xdr:twoCellAnchor editAs="oneCell">
    <xdr:from>
      <xdr:col>0</xdr:col>
      <xdr:colOff>149087</xdr:colOff>
      <xdr:row>70</xdr:row>
      <xdr:rowOff>91109</xdr:rowOff>
    </xdr:from>
    <xdr:to>
      <xdr:col>2</xdr:col>
      <xdr:colOff>74543</xdr:colOff>
      <xdr:row>73</xdr:row>
      <xdr:rowOff>24848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476B18D-3CFF-4033-9ADB-064770261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87" y="29056634"/>
          <a:ext cx="506481" cy="505239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81</xdr:row>
      <xdr:rowOff>24848</xdr:rowOff>
    </xdr:from>
    <xdr:to>
      <xdr:col>1</xdr:col>
      <xdr:colOff>372718</xdr:colOff>
      <xdr:row>83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C288E98-FAE8-43DA-9EA0-8E78D213B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31085873"/>
          <a:ext cx="356152" cy="3561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175</xdr:row>
      <xdr:rowOff>82827</xdr:rowOff>
    </xdr:from>
    <xdr:to>
      <xdr:col>2</xdr:col>
      <xdr:colOff>41413</xdr:colOff>
      <xdr:row>177</xdr:row>
      <xdr:rowOff>132523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B01C2FD-CF5E-45F9-A423-B7533A757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49069902"/>
          <a:ext cx="431938" cy="430696"/>
        </a:xfrm>
        <a:prstGeom prst="rect">
          <a:avLst/>
        </a:prstGeom>
      </xdr:spPr>
    </xdr:pic>
    <xdr:clientData/>
  </xdr:twoCellAnchor>
  <xdr:twoCellAnchor editAs="oneCell">
    <xdr:from>
      <xdr:col>1</xdr:col>
      <xdr:colOff>41413</xdr:colOff>
      <xdr:row>67</xdr:row>
      <xdr:rowOff>99392</xdr:rowOff>
    </xdr:from>
    <xdr:to>
      <xdr:col>1</xdr:col>
      <xdr:colOff>372718</xdr:colOff>
      <xdr:row>69</xdr:row>
      <xdr:rowOff>49697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F0D18A2A-C2DC-4E56-93B0-9677B5AAA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31913" y="28493417"/>
          <a:ext cx="331305" cy="331305"/>
        </a:xfrm>
        <a:prstGeom prst="rect">
          <a:avLst/>
        </a:prstGeom>
      </xdr:spPr>
    </xdr:pic>
    <xdr:clientData/>
  </xdr:twoCellAnchor>
  <xdr:twoCellAnchor editAs="oneCell">
    <xdr:from>
      <xdr:col>1</xdr:col>
      <xdr:colOff>8284</xdr:colOff>
      <xdr:row>61</xdr:row>
      <xdr:rowOff>1</xdr:rowOff>
    </xdr:from>
    <xdr:to>
      <xdr:col>1</xdr:col>
      <xdr:colOff>381002</xdr:colOff>
      <xdr:row>62</xdr:row>
      <xdr:rowOff>182219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25EC6F1-B0A4-4973-B4C2-4E9DB4028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4" y="27251026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</xdr:colOff>
      <xdr:row>138</xdr:row>
      <xdr:rowOff>91109</xdr:rowOff>
    </xdr:from>
    <xdr:to>
      <xdr:col>1</xdr:col>
      <xdr:colOff>389281</xdr:colOff>
      <xdr:row>140</xdr:row>
      <xdr:rowOff>66260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D72C9D1-AF0B-4795-8C4B-FB9EBDA8A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42010634"/>
          <a:ext cx="356151" cy="356151"/>
        </a:xfrm>
        <a:prstGeom prst="rect">
          <a:avLst/>
        </a:prstGeom>
      </xdr:spPr>
    </xdr:pic>
    <xdr:clientData/>
  </xdr:twoCellAnchor>
  <xdr:twoCellAnchor editAs="oneCell">
    <xdr:from>
      <xdr:col>0</xdr:col>
      <xdr:colOff>173935</xdr:colOff>
      <xdr:row>159</xdr:row>
      <xdr:rowOff>115956</xdr:rowOff>
    </xdr:from>
    <xdr:to>
      <xdr:col>2</xdr:col>
      <xdr:colOff>33131</xdr:colOff>
      <xdr:row>161</xdr:row>
      <xdr:rowOff>173935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F76ABA05-A71E-444E-B6F1-CC143AA36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35" y="46035981"/>
          <a:ext cx="440221" cy="4389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177</xdr:row>
      <xdr:rowOff>82827</xdr:rowOff>
    </xdr:from>
    <xdr:ext cx="430696" cy="430696"/>
    <xdr:pic>
      <xdr:nvPicPr>
        <xdr:cNvPr id="26" name="Picture 25">
          <a:extLst>
            <a:ext uri="{FF2B5EF4-FFF2-40B4-BE49-F238E27FC236}">
              <a16:creationId xmlns:a16="http://schemas.microsoft.com/office/drawing/2014/main" id="{739BC8BA-0D32-4243-AD59-58081AF47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49450902"/>
          <a:ext cx="430696" cy="43069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EAADB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ailboatsforsale.com/listings/guatemala/guatemala/1982-vagabond-42-kaimi" TargetMode="External"/><Relationship Id="rId2" Type="http://schemas.openxmlformats.org/officeDocument/2006/relationships/hyperlink" Target="https://sailboatdata.com/sailboat/vagabond-42/" TargetMode="External"/><Relationship Id="rId1" Type="http://schemas.openxmlformats.org/officeDocument/2006/relationships/hyperlink" Target="mailto:1000-2000@80k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B670-8118-4BE8-9F48-D18C4C7BDF06}">
  <sheetPr codeName="Sheet1">
    <pageSetUpPr fitToPage="1"/>
  </sheetPr>
  <dimension ref="B2:N112"/>
  <sheetViews>
    <sheetView topLeftCell="A16" zoomScale="115" zoomScaleNormal="115" workbookViewId="0">
      <selection activeCell="P79" sqref="P79"/>
    </sheetView>
    <sheetView tabSelected="1" topLeftCell="A43" workbookViewId="1">
      <selection activeCell="H58" sqref="H58"/>
    </sheetView>
  </sheetViews>
  <sheetFormatPr defaultRowHeight="15" x14ac:dyDescent="0.25"/>
  <cols>
    <col min="1" max="1" width="2.85546875" customWidth="1"/>
    <col min="2" max="2" width="5.85546875" customWidth="1"/>
    <col min="3" max="3" width="4.85546875" customWidth="1"/>
    <col min="4" max="4" width="33.5703125" customWidth="1"/>
    <col min="5" max="5" width="3.5703125" style="60" customWidth="1"/>
    <col min="6" max="6" width="14.7109375" style="1" customWidth="1"/>
    <col min="7" max="7" width="13.7109375" style="1" customWidth="1"/>
    <col min="8" max="8" width="14.140625" style="1" customWidth="1"/>
    <col min="9" max="9" width="24.85546875" style="75" customWidth="1"/>
    <col min="10" max="10" width="13.85546875" customWidth="1"/>
    <col min="11" max="11" width="8.28515625" customWidth="1"/>
    <col min="12" max="12" width="15.7109375" style="64" customWidth="1"/>
    <col min="13" max="13" width="15.7109375" customWidth="1"/>
    <col min="14" max="14" width="15.7109375" style="71" customWidth="1"/>
    <col min="17" max="17" width="11.5703125" bestFit="1" customWidth="1"/>
    <col min="19" max="19" width="11.28515625" bestFit="1" customWidth="1"/>
  </cols>
  <sheetData>
    <row r="2" spans="4:14" ht="15.75" x14ac:dyDescent="0.25">
      <c r="D2" t="s">
        <v>489</v>
      </c>
      <c r="F2" s="114" t="s">
        <v>690</v>
      </c>
      <c r="G2" s="115"/>
      <c r="H2" s="115"/>
      <c r="I2"/>
      <c r="L2"/>
      <c r="N2"/>
    </row>
    <row r="3" spans="4:14" x14ac:dyDescent="0.25">
      <c r="I3"/>
      <c r="L3"/>
      <c r="N3"/>
    </row>
    <row r="4" spans="4:14" x14ac:dyDescent="0.25">
      <c r="D4" t="s">
        <v>490</v>
      </c>
      <c r="F4" s="113" t="s">
        <v>691</v>
      </c>
      <c r="G4" s="109"/>
      <c r="H4" s="109"/>
      <c r="I4"/>
      <c r="L4"/>
      <c r="N4"/>
    </row>
    <row r="5" spans="4:14" x14ac:dyDescent="0.25">
      <c r="D5" t="s">
        <v>491</v>
      </c>
      <c r="F5" s="108"/>
      <c r="G5" s="109"/>
      <c r="H5" s="109"/>
      <c r="I5"/>
      <c r="L5"/>
      <c r="N5"/>
    </row>
    <row r="6" spans="4:14" x14ac:dyDescent="0.25">
      <c r="D6" t="s">
        <v>511</v>
      </c>
      <c r="F6" s="108"/>
      <c r="G6" s="109"/>
      <c r="H6" s="109"/>
      <c r="I6"/>
      <c r="L6"/>
      <c r="N6"/>
    </row>
    <row r="7" spans="4:14" x14ac:dyDescent="0.25">
      <c r="F7"/>
      <c r="G7"/>
      <c r="H7"/>
      <c r="I7"/>
      <c r="L7"/>
      <c r="N7"/>
    </row>
    <row r="8" spans="4:14" x14ac:dyDescent="0.25">
      <c r="D8" t="s">
        <v>483</v>
      </c>
      <c r="F8" s="108" t="s">
        <v>643</v>
      </c>
      <c r="G8" s="109"/>
      <c r="H8" s="109"/>
      <c r="I8"/>
      <c r="L8"/>
      <c r="N8"/>
    </row>
    <row r="9" spans="4:14" x14ac:dyDescent="0.25">
      <c r="D9" t="s">
        <v>484</v>
      </c>
      <c r="F9" s="108" t="s">
        <v>640</v>
      </c>
      <c r="G9" s="109"/>
      <c r="H9" s="109"/>
      <c r="I9"/>
      <c r="L9"/>
      <c r="N9"/>
    </row>
    <row r="10" spans="4:14" x14ac:dyDescent="0.25">
      <c r="D10" t="s">
        <v>482</v>
      </c>
      <c r="F10" s="108" t="s">
        <v>644</v>
      </c>
      <c r="G10" s="109"/>
      <c r="H10" s="109"/>
      <c r="I10"/>
      <c r="L10"/>
      <c r="N10"/>
    </row>
    <row r="11" spans="4:14" x14ac:dyDescent="0.25">
      <c r="D11" t="s">
        <v>485</v>
      </c>
      <c r="F11" s="108">
        <v>1982</v>
      </c>
      <c r="G11" s="109"/>
      <c r="H11" s="109"/>
      <c r="I11"/>
      <c r="L11"/>
      <c r="N11"/>
    </row>
    <row r="12" spans="4:14" x14ac:dyDescent="0.25">
      <c r="D12" t="s">
        <v>645</v>
      </c>
      <c r="F12" s="113" t="s">
        <v>646</v>
      </c>
      <c r="G12" s="109"/>
      <c r="H12" s="109"/>
      <c r="I12"/>
      <c r="L12"/>
      <c r="N12"/>
    </row>
    <row r="13" spans="4:14" x14ac:dyDescent="0.25">
      <c r="I13"/>
      <c r="L13"/>
      <c r="N13"/>
    </row>
    <row r="14" spans="4:14" x14ac:dyDescent="0.25">
      <c r="D14" t="s">
        <v>639</v>
      </c>
      <c r="F14" s="108" t="s">
        <v>641</v>
      </c>
      <c r="G14" s="109"/>
      <c r="H14" s="109"/>
      <c r="I14"/>
      <c r="L14"/>
      <c r="N14"/>
    </row>
    <row r="15" spans="4:14" x14ac:dyDescent="0.25">
      <c r="D15" t="s">
        <v>638</v>
      </c>
      <c r="F15" s="108" t="s">
        <v>642</v>
      </c>
      <c r="G15" s="109"/>
      <c r="H15" s="109"/>
      <c r="I15"/>
      <c r="L15"/>
      <c r="N15"/>
    </row>
    <row r="16" spans="4:14" x14ac:dyDescent="0.25">
      <c r="D16" t="s">
        <v>293</v>
      </c>
      <c r="F16" s="108" t="s">
        <v>665</v>
      </c>
      <c r="G16" s="109"/>
      <c r="H16" s="109"/>
      <c r="I16"/>
      <c r="L16"/>
      <c r="N16"/>
    </row>
    <row r="17" spans="3:14" x14ac:dyDescent="0.25">
      <c r="F17"/>
      <c r="G17"/>
      <c r="H17" s="64"/>
      <c r="I17"/>
      <c r="L17"/>
      <c r="N17"/>
    </row>
    <row r="18" spans="3:14" x14ac:dyDescent="0.25">
      <c r="C18" t="s">
        <v>512</v>
      </c>
      <c r="F18" s="110" t="s">
        <v>65</v>
      </c>
      <c r="G18" s="111"/>
      <c r="H18" s="111"/>
      <c r="I18"/>
      <c r="L18"/>
      <c r="N18"/>
    </row>
    <row r="19" spans="3:14" x14ac:dyDescent="0.25">
      <c r="D19" t="s">
        <v>566</v>
      </c>
      <c r="F19" s="110" t="s">
        <v>650</v>
      </c>
      <c r="G19" s="111"/>
      <c r="H19" s="111"/>
      <c r="I19"/>
      <c r="L19"/>
      <c r="N19"/>
    </row>
    <row r="20" spans="3:14" x14ac:dyDescent="0.25">
      <c r="D20" t="s">
        <v>403</v>
      </c>
      <c r="F20" s="110" t="s">
        <v>651</v>
      </c>
      <c r="G20" s="111"/>
      <c r="H20" s="111"/>
      <c r="I20"/>
      <c r="L20"/>
      <c r="N20"/>
    </row>
    <row r="21" spans="3:14" x14ac:dyDescent="0.25">
      <c r="D21" t="s">
        <v>435</v>
      </c>
      <c r="F21" s="110" t="s">
        <v>652</v>
      </c>
      <c r="G21" s="111"/>
      <c r="H21" s="111"/>
      <c r="I21"/>
      <c r="L21"/>
      <c r="N21"/>
    </row>
    <row r="22" spans="3:14" x14ac:dyDescent="0.25">
      <c r="D22" t="s">
        <v>513</v>
      </c>
      <c r="F22" s="110" t="s">
        <v>653</v>
      </c>
      <c r="G22" s="111"/>
      <c r="H22" s="111"/>
      <c r="I22"/>
      <c r="L22"/>
      <c r="N22"/>
    </row>
    <row r="23" spans="3:14" x14ac:dyDescent="0.25">
      <c r="D23" t="s">
        <v>514</v>
      </c>
      <c r="F23" s="110" t="s">
        <v>654</v>
      </c>
      <c r="G23" s="111"/>
      <c r="H23" s="111"/>
      <c r="I23"/>
      <c r="L23"/>
      <c r="N23"/>
    </row>
    <row r="24" spans="3:14" x14ac:dyDescent="0.25">
      <c r="D24" t="s">
        <v>515</v>
      </c>
      <c r="F24" s="110" t="s">
        <v>656</v>
      </c>
      <c r="G24" s="111"/>
      <c r="H24" s="111"/>
      <c r="I24"/>
      <c r="L24"/>
      <c r="N24"/>
    </row>
    <row r="25" spans="3:14" x14ac:dyDescent="0.25">
      <c r="D25" t="s">
        <v>655</v>
      </c>
      <c r="F25" s="112"/>
      <c r="G25" s="112"/>
      <c r="H25" s="112"/>
      <c r="I25"/>
      <c r="L25"/>
      <c r="N25"/>
    </row>
    <row r="26" spans="3:14" x14ac:dyDescent="0.25">
      <c r="I26"/>
      <c r="L26"/>
      <c r="N26"/>
    </row>
    <row r="27" spans="3:14" ht="15.75" thickBot="1" x14ac:dyDescent="0.3">
      <c r="C27" t="s">
        <v>487</v>
      </c>
      <c r="I27"/>
      <c r="L27"/>
      <c r="N27"/>
    </row>
    <row r="28" spans="3:14" ht="15.75" thickBot="1" x14ac:dyDescent="0.3">
      <c r="D28" t="s">
        <v>649</v>
      </c>
      <c r="F28" s="123">
        <v>42</v>
      </c>
      <c r="G28" s="74" t="s">
        <v>544</v>
      </c>
      <c r="I28"/>
      <c r="L28"/>
      <c r="N28"/>
    </row>
    <row r="29" spans="3:14" x14ac:dyDescent="0.25">
      <c r="D29" t="s">
        <v>648</v>
      </c>
      <c r="F29" s="122">
        <v>12.8</v>
      </c>
      <c r="G29" t="s">
        <v>544</v>
      </c>
      <c r="I29"/>
      <c r="L29"/>
      <c r="N29"/>
    </row>
    <row r="30" spans="3:14" x14ac:dyDescent="0.25">
      <c r="D30" t="s">
        <v>689</v>
      </c>
      <c r="F30" s="95">
        <v>5.5</v>
      </c>
      <c r="G30" s="95">
        <v>5.5</v>
      </c>
      <c r="H30" s="1" t="s">
        <v>544</v>
      </c>
      <c r="I30"/>
      <c r="L30"/>
      <c r="N30"/>
    </row>
    <row r="31" spans="3:14" x14ac:dyDescent="0.25">
      <c r="D31" t="s">
        <v>647</v>
      </c>
      <c r="F31" s="94">
        <v>14500</v>
      </c>
      <c r="G31" t="s">
        <v>545</v>
      </c>
      <c r="I31"/>
      <c r="L31"/>
      <c r="N31"/>
    </row>
    <row r="32" spans="3:14" x14ac:dyDescent="0.25">
      <c r="D32" t="s">
        <v>658</v>
      </c>
      <c r="F32" s="94">
        <v>380</v>
      </c>
      <c r="G32" t="s">
        <v>657</v>
      </c>
      <c r="I32"/>
      <c r="L32"/>
      <c r="N32"/>
    </row>
    <row r="33" spans="3:14" x14ac:dyDescent="0.25">
      <c r="D33" t="s">
        <v>659</v>
      </c>
      <c r="F33" s="94">
        <v>500</v>
      </c>
      <c r="G33" t="s">
        <v>657</v>
      </c>
      <c r="I33"/>
      <c r="L33"/>
      <c r="N33"/>
    </row>
    <row r="34" spans="3:14" x14ac:dyDescent="0.25">
      <c r="D34" t="s">
        <v>664</v>
      </c>
      <c r="F34" s="94">
        <v>60</v>
      </c>
      <c r="G34" t="s">
        <v>663</v>
      </c>
      <c r="I34"/>
      <c r="L34"/>
      <c r="N34"/>
    </row>
    <row r="35" spans="3:14" x14ac:dyDescent="0.25">
      <c r="I35"/>
      <c r="L35"/>
      <c r="N35"/>
    </row>
    <row r="36" spans="3:14" x14ac:dyDescent="0.25">
      <c r="C36" t="s">
        <v>486</v>
      </c>
      <c r="I36"/>
      <c r="L36"/>
      <c r="N36"/>
    </row>
    <row r="37" spans="3:14" x14ac:dyDescent="0.25">
      <c r="D37" t="s">
        <v>488</v>
      </c>
      <c r="F37" s="96">
        <v>13.8</v>
      </c>
      <c r="I37"/>
      <c r="L37"/>
      <c r="N37"/>
    </row>
    <row r="38" spans="3:14" x14ac:dyDescent="0.25">
      <c r="D38" t="s">
        <v>508</v>
      </c>
      <c r="F38" s="96">
        <v>363</v>
      </c>
      <c r="I38"/>
      <c r="L38"/>
      <c r="N38"/>
    </row>
    <row r="39" spans="3:14" x14ac:dyDescent="0.25">
      <c r="D39" t="s">
        <v>509</v>
      </c>
      <c r="F39" s="96">
        <v>45.4</v>
      </c>
      <c r="I39"/>
      <c r="L39"/>
      <c r="N39"/>
    </row>
    <row r="40" spans="3:14" x14ac:dyDescent="0.25">
      <c r="D40" t="s">
        <v>510</v>
      </c>
      <c r="F40" s="96">
        <v>1.62</v>
      </c>
      <c r="I40"/>
    </row>
    <row r="41" spans="3:14" x14ac:dyDescent="0.25">
      <c r="F41"/>
      <c r="I41"/>
    </row>
    <row r="42" spans="3:14" x14ac:dyDescent="0.25">
      <c r="C42" t="s">
        <v>560</v>
      </c>
      <c r="F42"/>
      <c r="G42" s="76"/>
      <c r="H42" s="76"/>
      <c r="I42"/>
      <c r="L42"/>
      <c r="M42" s="81"/>
      <c r="N42" s="81"/>
    </row>
    <row r="43" spans="3:14" x14ac:dyDescent="0.25">
      <c r="D43" t="s">
        <v>534</v>
      </c>
      <c r="F43" s="97">
        <v>0.7</v>
      </c>
      <c r="G43" s="77"/>
      <c r="H43" s="77"/>
      <c r="I43"/>
      <c r="L43"/>
      <c r="M43" s="82"/>
      <c r="N43" s="82"/>
    </row>
    <row r="44" spans="3:14" x14ac:dyDescent="0.25">
      <c r="D44" t="s">
        <v>535</v>
      </c>
      <c r="F44" s="97">
        <v>0.8</v>
      </c>
      <c r="G44" s="77"/>
      <c r="H44" s="77"/>
      <c r="I44"/>
      <c r="L44"/>
      <c r="M44" s="82"/>
      <c r="N44" s="82"/>
    </row>
    <row r="45" spans="3:14" x14ac:dyDescent="0.25">
      <c r="D45" t="s">
        <v>536</v>
      </c>
      <c r="F45" s="97">
        <v>0.8</v>
      </c>
      <c r="G45" s="77"/>
      <c r="H45" s="77"/>
      <c r="I45"/>
      <c r="L45"/>
      <c r="M45" s="82"/>
      <c r="N45" s="82"/>
    </row>
    <row r="46" spans="3:14" x14ac:dyDescent="0.25">
      <c r="D46" t="s">
        <v>547</v>
      </c>
      <c r="F46" s="97">
        <v>0.8</v>
      </c>
      <c r="G46" s="77"/>
      <c r="H46" s="77"/>
      <c r="I46"/>
      <c r="L46"/>
      <c r="M46" s="82"/>
      <c r="N46" s="82"/>
    </row>
    <row r="47" spans="3:14" x14ac:dyDescent="0.25">
      <c r="D47" t="s">
        <v>538</v>
      </c>
      <c r="F47" s="97">
        <v>0.4</v>
      </c>
      <c r="G47" s="77"/>
      <c r="H47" s="77"/>
      <c r="I47"/>
      <c r="L47"/>
      <c r="M47" s="82"/>
      <c r="N47" s="82"/>
    </row>
    <row r="48" spans="3:14" x14ac:dyDescent="0.25">
      <c r="D48" t="s">
        <v>486</v>
      </c>
      <c r="F48" s="97">
        <v>0.4</v>
      </c>
      <c r="G48" s="77"/>
      <c r="H48" s="77"/>
      <c r="I48"/>
      <c r="L48"/>
      <c r="M48" s="82"/>
      <c r="N48" s="82"/>
    </row>
    <row r="49" spans="3:14" x14ac:dyDescent="0.25">
      <c r="D49" t="s">
        <v>537</v>
      </c>
      <c r="F49" s="97">
        <v>0.7</v>
      </c>
      <c r="G49" s="77"/>
      <c r="H49" s="77"/>
      <c r="I49"/>
      <c r="L49"/>
      <c r="M49" s="82"/>
      <c r="N49" s="82"/>
    </row>
    <row r="50" spans="3:14" x14ac:dyDescent="0.25">
      <c r="D50" t="s">
        <v>539</v>
      </c>
      <c r="F50" s="97">
        <v>0.8</v>
      </c>
      <c r="G50" s="77"/>
      <c r="H50" s="77"/>
      <c r="I50"/>
      <c r="L50"/>
      <c r="M50" s="82"/>
      <c r="N50" s="82"/>
    </row>
    <row r="51" spans="3:14" x14ac:dyDescent="0.25">
      <c r="D51" t="s">
        <v>541</v>
      </c>
      <c r="F51" s="97">
        <v>0.8</v>
      </c>
      <c r="G51" s="77"/>
      <c r="H51" s="77"/>
      <c r="I51"/>
      <c r="L51"/>
      <c r="M51" s="82"/>
      <c r="N51" s="82"/>
    </row>
    <row r="52" spans="3:14" x14ac:dyDescent="0.25">
      <c r="D52" t="s">
        <v>542</v>
      </c>
      <c r="F52" s="97">
        <v>0.8</v>
      </c>
      <c r="G52" s="77"/>
      <c r="H52" s="77"/>
      <c r="I52"/>
      <c r="L52"/>
      <c r="M52" s="82"/>
      <c r="N52" s="82"/>
    </row>
    <row r="53" spans="3:14" x14ac:dyDescent="0.25">
      <c r="D53" t="s">
        <v>565</v>
      </c>
      <c r="F53" s="97">
        <v>0.7</v>
      </c>
      <c r="G53" s="77"/>
      <c r="H53" s="77"/>
      <c r="I53"/>
      <c r="L53"/>
      <c r="M53" s="82"/>
      <c r="N53" s="82"/>
    </row>
    <row r="54" spans="3:14" x14ac:dyDescent="0.25">
      <c r="D54" t="s">
        <v>563</v>
      </c>
      <c r="F54" s="97">
        <v>0.5</v>
      </c>
      <c r="G54" s="77"/>
      <c r="H54" s="77"/>
      <c r="I54"/>
      <c r="L54"/>
      <c r="M54" s="82"/>
      <c r="N54" s="82"/>
    </row>
    <row r="55" spans="3:14" x14ac:dyDescent="0.25">
      <c r="D55" t="s">
        <v>540</v>
      </c>
      <c r="F55" s="97">
        <v>0.8</v>
      </c>
      <c r="G55" s="77"/>
      <c r="H55" s="77"/>
      <c r="I55"/>
      <c r="L55"/>
      <c r="M55" s="82"/>
      <c r="N55" s="82"/>
    </row>
    <row r="56" spans="3:14" x14ac:dyDescent="0.25">
      <c r="D56" t="s">
        <v>543</v>
      </c>
      <c r="F56" s="97">
        <v>0.8</v>
      </c>
      <c r="G56" s="77"/>
      <c r="H56" s="77"/>
      <c r="I56"/>
      <c r="L56"/>
      <c r="M56" s="82"/>
      <c r="N56" s="82"/>
    </row>
    <row r="57" spans="3:14" x14ac:dyDescent="0.25">
      <c r="F57"/>
      <c r="G57" s="78"/>
      <c r="H57" s="78"/>
      <c r="I57"/>
      <c r="K57" s="74"/>
      <c r="L57"/>
      <c r="M57" s="80"/>
      <c r="N57" s="80"/>
    </row>
    <row r="58" spans="3:14" x14ac:dyDescent="0.25">
      <c r="C58" t="s">
        <v>561</v>
      </c>
      <c r="F58"/>
      <c r="G58" s="78"/>
      <c r="H58" s="78"/>
      <c r="I58"/>
      <c r="K58" s="74"/>
      <c r="L58" s="80"/>
      <c r="M58" s="80"/>
      <c r="N58" s="80"/>
    </row>
    <row r="59" spans="3:14" x14ac:dyDescent="0.25">
      <c r="D59" t="s">
        <v>452</v>
      </c>
      <c r="F59" s="89">
        <f ca="1">CalculateScore(Parameters!$D$20:$D$34,$F$43:$F$56)</f>
        <v>7</v>
      </c>
      <c r="G59" s="78"/>
      <c r="H59" s="78"/>
      <c r="I59"/>
      <c r="K59" s="74"/>
      <c r="L59" s="80"/>
      <c r="M59" s="80"/>
      <c r="N59" s="80"/>
    </row>
    <row r="60" spans="3:14" x14ac:dyDescent="0.25">
      <c r="D60" t="s">
        <v>562</v>
      </c>
      <c r="F60" s="89">
        <f ca="1">CalculateScore(Parameters!$E$20:$E$34,$F$43:$F$56)</f>
        <v>7.1428571428571459</v>
      </c>
      <c r="G60" s="78"/>
      <c r="H60" s="78"/>
      <c r="I60"/>
      <c r="K60" s="74"/>
      <c r="L60" s="80"/>
      <c r="M60" s="80"/>
      <c r="N60" s="80"/>
    </row>
    <row r="61" spans="3:14" x14ac:dyDescent="0.25">
      <c r="D61" t="s">
        <v>486</v>
      </c>
      <c r="F61" s="89">
        <f ca="1">CalculateScore(Parameters!$F$20:$F$34,$F$43:$F$56)</f>
        <v>5.666666666666667</v>
      </c>
      <c r="G61" s="78"/>
      <c r="H61" s="78"/>
      <c r="I61"/>
      <c r="K61" s="74"/>
      <c r="L61" s="80"/>
      <c r="M61" s="80"/>
      <c r="N61" s="80"/>
    </row>
    <row r="62" spans="3:14" x14ac:dyDescent="0.25">
      <c r="D62" t="s">
        <v>564</v>
      </c>
      <c r="F62" s="89">
        <f ca="1">CalculateScore(Parameters!$G$20:$G$34,$F$43:$F$56)</f>
        <v>7.2200000000000006</v>
      </c>
      <c r="G62" s="78"/>
      <c r="H62" s="78"/>
      <c r="I62"/>
      <c r="K62" s="74"/>
      <c r="L62" s="90"/>
      <c r="M62" s="80"/>
      <c r="N62" s="80"/>
    </row>
    <row r="63" spans="3:14" x14ac:dyDescent="0.25">
      <c r="D63" t="s">
        <v>548</v>
      </c>
      <c r="F63" s="89">
        <f ca="1">CalculateScore(Parameters!$H$20:$H$34,$F$43:$F$56)</f>
        <v>7.481481481481481</v>
      </c>
      <c r="G63" s="78"/>
      <c r="H63" s="78"/>
      <c r="I63"/>
      <c r="K63" s="74"/>
      <c r="L63" s="80"/>
      <c r="M63" s="80"/>
      <c r="N63" s="80"/>
    </row>
    <row r="64" spans="3:14" x14ac:dyDescent="0.25">
      <c r="F64" s="78"/>
      <c r="G64" s="78"/>
      <c r="H64" s="78"/>
      <c r="K64" s="74"/>
      <c r="L64" s="80"/>
      <c r="M64" s="80"/>
      <c r="N64" s="80"/>
    </row>
    <row r="65" spans="2:14" x14ac:dyDescent="0.25">
      <c r="B65" s="65" t="s">
        <v>553</v>
      </c>
      <c r="C65" s="65"/>
      <c r="D65" s="65"/>
      <c r="E65" s="66"/>
      <c r="F65" s="67"/>
      <c r="G65" s="67"/>
      <c r="H65" s="67"/>
      <c r="I65" s="65" t="s">
        <v>553</v>
      </c>
      <c r="J65" s="65"/>
      <c r="K65" s="65"/>
      <c r="L65" s="65"/>
      <c r="M65" s="65"/>
      <c r="N65" s="65"/>
    </row>
    <row r="67" spans="2:14" x14ac:dyDescent="0.25">
      <c r="D67" t="s">
        <v>551</v>
      </c>
      <c r="F67"/>
      <c r="G67"/>
      <c r="H67"/>
      <c r="I67" s="75" t="str">
        <f>$D67</f>
        <v>Asking Price</v>
      </c>
      <c r="J67" s="85">
        <v>75000</v>
      </c>
      <c r="K67" s="74" t="s">
        <v>660</v>
      </c>
      <c r="L67" s="98">
        <v>45327</v>
      </c>
      <c r="M67" s="106" t="s">
        <v>687</v>
      </c>
      <c r="N67" s="73">
        <f>J67- J67 * Parameters!D37</f>
        <v>67500</v>
      </c>
    </row>
    <row r="68" spans="2:14" x14ac:dyDescent="0.25">
      <c r="F68"/>
      <c r="G68"/>
      <c r="H68"/>
      <c r="K68" s="74"/>
      <c r="L68" s="80"/>
      <c r="M68" s="80"/>
      <c r="N68" s="80"/>
    </row>
    <row r="69" spans="2:14" x14ac:dyDescent="0.25">
      <c r="B69" s="65" t="s">
        <v>554</v>
      </c>
      <c r="C69" s="65"/>
      <c r="D69" s="65"/>
      <c r="E69" s="66"/>
      <c r="F69" s="67"/>
      <c r="G69" s="67"/>
      <c r="H69" s="67"/>
      <c r="I69" s="65" t="s">
        <v>554</v>
      </c>
      <c r="J69" s="65"/>
      <c r="K69" s="65"/>
      <c r="L69" s="65"/>
      <c r="M69" s="65"/>
      <c r="N69" s="65"/>
    </row>
    <row r="71" spans="2:14" x14ac:dyDescent="0.25">
      <c r="D71" t="s">
        <v>552</v>
      </c>
      <c r="F71"/>
      <c r="G71"/>
      <c r="H71"/>
      <c r="I71" s="75" t="str">
        <f>$D71</f>
        <v>Sales Price</v>
      </c>
      <c r="J71" s="84">
        <v>68000</v>
      </c>
      <c r="K71" s="74"/>
      <c r="M71" s="106" t="s">
        <v>688</v>
      </c>
      <c r="N71" s="107">
        <f>(J67-J71)/(J67/100)/100</f>
        <v>9.3333333333333338E-2</v>
      </c>
    </row>
    <row r="72" spans="2:14" ht="15.75" thickBot="1" x14ac:dyDescent="0.3"/>
    <row r="73" spans="2:14" ht="15.75" thickBot="1" x14ac:dyDescent="0.3">
      <c r="D73" t="s">
        <v>555</v>
      </c>
      <c r="I73" s="75" t="str">
        <f>$D73</f>
        <v>Assesment Target</v>
      </c>
      <c r="J73" s="125" t="s">
        <v>476</v>
      </c>
    </row>
    <row r="74" spans="2:14" x14ac:dyDescent="0.25">
      <c r="D74" t="s">
        <v>546</v>
      </c>
      <c r="F74"/>
      <c r="G74"/>
      <c r="H74"/>
      <c r="I74" s="75" t="str">
        <f>$D74</f>
        <v>Assesment</v>
      </c>
      <c r="J74" s="124" t="e">
        <f>#REF!</f>
        <v>#REF!</v>
      </c>
      <c r="K74" s="74"/>
      <c r="L74" s="80"/>
      <c r="M74" s="80"/>
      <c r="N74" s="80"/>
    </row>
    <row r="75" spans="2:14" x14ac:dyDescent="0.25">
      <c r="D75" t="s">
        <v>475</v>
      </c>
      <c r="F75"/>
      <c r="G75"/>
      <c r="H75"/>
      <c r="I75" s="75" t="str">
        <f>$D75</f>
        <v>Projects</v>
      </c>
      <c r="J75" s="73">
        <f>M$89</f>
        <v>0</v>
      </c>
      <c r="K75" s="74"/>
      <c r="L75" s="80"/>
      <c r="M75" s="80"/>
      <c r="N75" s="80"/>
    </row>
    <row r="76" spans="2:14" x14ac:dyDescent="0.25">
      <c r="D76" t="s">
        <v>507</v>
      </c>
      <c r="G76"/>
      <c r="H76"/>
      <c r="I76" s="75" t="str">
        <f>$D76</f>
        <v>Custom</v>
      </c>
      <c r="J76" s="84">
        <v>0</v>
      </c>
      <c r="K76" s="74"/>
      <c r="L76" s="80"/>
      <c r="M76" s="80"/>
      <c r="N76"/>
    </row>
    <row r="77" spans="2:14" x14ac:dyDescent="0.25">
      <c r="F77"/>
      <c r="G77"/>
      <c r="H77"/>
      <c r="J77" s="83"/>
      <c r="K77" s="74"/>
      <c r="L77" s="80"/>
      <c r="M77" s="80"/>
      <c r="N77" s="80"/>
    </row>
    <row r="78" spans="2:14" x14ac:dyDescent="0.25">
      <c r="D78" t="s">
        <v>549</v>
      </c>
      <c r="F78" s="73">
        <v>25</v>
      </c>
      <c r="G78" t="s">
        <v>557</v>
      </c>
      <c r="H78"/>
      <c r="I78" s="75" t="str">
        <f>$D78</f>
        <v>Hull Survey</v>
      </c>
      <c r="J78" s="73">
        <f>$F78*F$28</f>
        <v>1050</v>
      </c>
      <c r="K78" s="74"/>
      <c r="L78" s="80"/>
      <c r="M78" s="80"/>
      <c r="N78" s="80"/>
    </row>
    <row r="79" spans="2:14" x14ac:dyDescent="0.25">
      <c r="D79" t="s">
        <v>558</v>
      </c>
      <c r="F79" s="73">
        <v>15</v>
      </c>
      <c r="G79" t="s">
        <v>557</v>
      </c>
      <c r="H79"/>
      <c r="I79" s="75" t="str">
        <f t="shared" ref="I79:I82" si="0">$D79</f>
        <v>Haulout</v>
      </c>
      <c r="J79" s="73">
        <f>$F79*F$28</f>
        <v>630</v>
      </c>
      <c r="K79" s="74"/>
      <c r="L79" s="80"/>
      <c r="M79" s="80"/>
    </row>
    <row r="80" spans="2:14" x14ac:dyDescent="0.25">
      <c r="D80" t="s">
        <v>550</v>
      </c>
      <c r="F80" s="73">
        <v>400</v>
      </c>
      <c r="G80" t="s">
        <v>559</v>
      </c>
      <c r="H80"/>
      <c r="I80" s="75" t="str">
        <f t="shared" si="0"/>
        <v>Engine Survey</v>
      </c>
      <c r="J80" s="73">
        <f>$F80</f>
        <v>400</v>
      </c>
      <c r="K80" s="74"/>
      <c r="L80" s="80"/>
      <c r="M80" s="80"/>
    </row>
    <row r="81" spans="4:14" x14ac:dyDescent="0.25">
      <c r="D81" t="s">
        <v>30</v>
      </c>
      <c r="F81" s="86">
        <v>0</v>
      </c>
      <c r="G81"/>
      <c r="H81"/>
      <c r="I81" s="75" t="str">
        <f t="shared" si="0"/>
        <v>Sales Tax</v>
      </c>
      <c r="J81" s="73">
        <f>J71*$F81</f>
        <v>0</v>
      </c>
      <c r="K81" s="74"/>
      <c r="L81" s="80"/>
      <c r="M81" s="80"/>
    </row>
    <row r="82" spans="4:14" x14ac:dyDescent="0.25">
      <c r="D82" t="s">
        <v>471</v>
      </c>
      <c r="F82" s="85">
        <v>1000</v>
      </c>
      <c r="G82"/>
      <c r="H82"/>
      <c r="I82" s="75" t="str">
        <f t="shared" si="0"/>
        <v>Registration/MMSI</v>
      </c>
      <c r="J82" s="73">
        <f>$F82</f>
        <v>1000</v>
      </c>
      <c r="K82" s="74"/>
      <c r="L82" s="80"/>
      <c r="M82" s="80"/>
    </row>
    <row r="83" spans="4:14" x14ac:dyDescent="0.25">
      <c r="D83" t="s">
        <v>556</v>
      </c>
      <c r="G83"/>
      <c r="H83"/>
      <c r="I83" s="75" t="str">
        <f>$D83</f>
        <v>Agent Fees</v>
      </c>
      <c r="J83" s="84">
        <f>$F83</f>
        <v>0</v>
      </c>
      <c r="K83" s="74"/>
      <c r="L83" s="80"/>
      <c r="M83" s="80"/>
    </row>
    <row r="84" spans="4:14" x14ac:dyDescent="0.25">
      <c r="D84" t="s">
        <v>678</v>
      </c>
      <c r="F84" s="85">
        <v>500</v>
      </c>
      <c r="G84" t="s">
        <v>680</v>
      </c>
      <c r="H84"/>
      <c r="I84" s="75" t="str">
        <f>$D84</f>
        <v>First Year Liability Insurance</v>
      </c>
      <c r="J84" s="73">
        <f>$F84</f>
        <v>500</v>
      </c>
      <c r="K84" s="74"/>
      <c r="L84" s="80"/>
      <c r="M84" s="80"/>
    </row>
    <row r="85" spans="4:14" x14ac:dyDescent="0.25">
      <c r="D85" t="s">
        <v>679</v>
      </c>
      <c r="F85" s="85">
        <v>0</v>
      </c>
      <c r="G85" s="105" t="s">
        <v>681</v>
      </c>
      <c r="H85"/>
      <c r="I85" s="75" t="str">
        <f>$D85</f>
        <v>First Year Hull Insurance</v>
      </c>
      <c r="J85" s="73">
        <f>$F85</f>
        <v>0</v>
      </c>
      <c r="K85" s="74"/>
      <c r="L85" s="80"/>
      <c r="M85" s="80"/>
    </row>
    <row r="86" spans="4:14" x14ac:dyDescent="0.25">
      <c r="F86"/>
      <c r="G86"/>
      <c r="H86"/>
      <c r="J86" s="83"/>
      <c r="K86" s="74"/>
      <c r="L86" s="80"/>
      <c r="M86" s="80"/>
    </row>
    <row r="87" spans="4:14" x14ac:dyDescent="0.25">
      <c r="F87"/>
      <c r="G87"/>
      <c r="H87"/>
      <c r="J87" s="9" t="e">
        <f>SUM(J71:J86)</f>
        <v>#REF!</v>
      </c>
      <c r="K87" s="74"/>
      <c r="L87" s="104" t="e">
        <f>J87*0.87</f>
        <v>#REF!</v>
      </c>
      <c r="M87" s="80"/>
    </row>
    <row r="88" spans="4:14" x14ac:dyDescent="0.25">
      <c r="F88" s="78"/>
      <c r="G88" s="78"/>
      <c r="H88" s="78"/>
      <c r="K88" s="74"/>
      <c r="M88" s="79"/>
      <c r="N88" s="79"/>
    </row>
    <row r="89" spans="4:14" x14ac:dyDescent="0.25">
      <c r="F89" s="87"/>
      <c r="G89" s="87"/>
      <c r="H89" s="87"/>
      <c r="I89"/>
      <c r="L89"/>
      <c r="N89"/>
    </row>
    <row r="90" spans="4:14" x14ac:dyDescent="0.25">
      <c r="I90"/>
      <c r="L90"/>
      <c r="N90"/>
    </row>
    <row r="91" spans="4:14" x14ac:dyDescent="0.25">
      <c r="M91" s="9"/>
      <c r="N91"/>
    </row>
    <row r="98" spans="4:14" x14ac:dyDescent="0.25">
      <c r="D98" s="13"/>
      <c r="F98"/>
      <c r="G98"/>
      <c r="H98"/>
      <c r="N98"/>
    </row>
    <row r="99" spans="4:14" x14ac:dyDescent="0.25">
      <c r="D99" s="13"/>
      <c r="F99"/>
      <c r="G99"/>
      <c r="H99"/>
      <c r="N99"/>
    </row>
    <row r="100" spans="4:14" x14ac:dyDescent="0.25">
      <c r="D100" s="13"/>
      <c r="F100"/>
      <c r="G100"/>
      <c r="H100"/>
      <c r="N100"/>
    </row>
    <row r="101" spans="4:14" x14ac:dyDescent="0.25">
      <c r="F101"/>
      <c r="G101"/>
      <c r="H101"/>
      <c r="N101"/>
    </row>
    <row r="102" spans="4:14" x14ac:dyDescent="0.25">
      <c r="F102"/>
      <c r="G102"/>
      <c r="H102"/>
      <c r="N102"/>
    </row>
    <row r="103" spans="4:14" x14ac:dyDescent="0.25">
      <c r="F103"/>
      <c r="G103"/>
      <c r="H103"/>
      <c r="N103"/>
    </row>
    <row r="104" spans="4:14" x14ac:dyDescent="0.25">
      <c r="F104"/>
      <c r="G104"/>
      <c r="H104"/>
      <c r="N104"/>
    </row>
    <row r="105" spans="4:14" x14ac:dyDescent="0.25">
      <c r="F105"/>
      <c r="G105"/>
      <c r="H105"/>
      <c r="N105"/>
    </row>
    <row r="106" spans="4:14" x14ac:dyDescent="0.25">
      <c r="E106"/>
      <c r="F106"/>
      <c r="G106"/>
      <c r="H106"/>
      <c r="I106"/>
      <c r="L106"/>
      <c r="N106"/>
    </row>
    <row r="107" spans="4:14" x14ac:dyDescent="0.25">
      <c r="E107"/>
      <c r="F107"/>
      <c r="G107"/>
      <c r="H107"/>
      <c r="I107"/>
      <c r="L107"/>
      <c r="N107"/>
    </row>
    <row r="108" spans="4:14" x14ac:dyDescent="0.25">
      <c r="E108"/>
      <c r="F108"/>
      <c r="G108"/>
      <c r="H108"/>
      <c r="I108"/>
      <c r="L108"/>
      <c r="N108"/>
    </row>
    <row r="109" spans="4:14" x14ac:dyDescent="0.25">
      <c r="E109"/>
      <c r="F109"/>
      <c r="G109"/>
      <c r="H109"/>
      <c r="I109"/>
      <c r="L109"/>
      <c r="N109"/>
    </row>
    <row r="110" spans="4:14" x14ac:dyDescent="0.25">
      <c r="E110"/>
      <c r="F110"/>
      <c r="G110"/>
      <c r="H110"/>
      <c r="I110"/>
      <c r="L110"/>
      <c r="N110"/>
    </row>
    <row r="111" spans="4:14" x14ac:dyDescent="0.25">
      <c r="E111"/>
      <c r="F111"/>
      <c r="G111"/>
      <c r="H111"/>
      <c r="I111"/>
      <c r="L111"/>
      <c r="N111"/>
    </row>
    <row r="112" spans="4:14" x14ac:dyDescent="0.25">
      <c r="E112"/>
      <c r="F112"/>
      <c r="G112"/>
      <c r="H112"/>
      <c r="I112"/>
      <c r="L112"/>
      <c r="N112"/>
    </row>
  </sheetData>
  <mergeCells count="20">
    <mergeCell ref="F6:H6"/>
    <mergeCell ref="F5:H5"/>
    <mergeCell ref="F4:H4"/>
    <mergeCell ref="F2:H2"/>
    <mergeCell ref="F12:H12"/>
    <mergeCell ref="F11:H11"/>
    <mergeCell ref="F10:H10"/>
    <mergeCell ref="F9:H9"/>
    <mergeCell ref="F8:H8"/>
    <mergeCell ref="F14:H14"/>
    <mergeCell ref="F18:H18"/>
    <mergeCell ref="F23:H23"/>
    <mergeCell ref="F24:H24"/>
    <mergeCell ref="F25:H25"/>
    <mergeCell ref="F16:H16"/>
    <mergeCell ref="F19:H19"/>
    <mergeCell ref="F20:H20"/>
    <mergeCell ref="F21:H21"/>
    <mergeCell ref="F22:H22"/>
    <mergeCell ref="F15:H15"/>
  </mergeCells>
  <conditionalFormatting sqref="J73">
    <cfRule type="cellIs" dxfId="383" priority="910" operator="equal">
      <formula>"Replace"</formula>
    </cfRule>
  </conditionalFormatting>
  <conditionalFormatting sqref="J73">
    <cfRule type="cellIs" dxfId="382" priority="907" operator="equal">
      <formula>"Unknown"</formula>
    </cfRule>
  </conditionalFormatting>
  <conditionalFormatting sqref="J73">
    <cfRule type="cellIs" dxfId="381" priority="908" operator="equal">
      <formula>"Good"</formula>
    </cfRule>
  </conditionalFormatting>
  <conditionalFormatting sqref="J73">
    <cfRule type="cellIs" dxfId="380" priority="909" operator="equal">
      <formula>"Repair"</formula>
    </cfRule>
    <cfRule type="cellIs" dxfId="379" priority="911" operator="equal">
      <formula>"Dispose"</formula>
    </cfRule>
  </conditionalFormatting>
  <dataValidations disablePrompts="1" count="1">
    <dataValidation type="list" allowBlank="1" showInputMessage="1" showErrorMessage="1" sqref="J73" xr:uid="{544E49BC-EEAF-46C9-8C4F-E69DDA85E586}">
      <formula1>AssesmentTargets</formula1>
    </dataValidation>
  </dataValidations>
  <hyperlinks>
    <hyperlink ref="G85" r:id="rId1" xr:uid="{6EF5757B-944B-463D-80FF-A001EC0C9F61}"/>
    <hyperlink ref="F12" r:id="rId2" xr:uid="{7CAA82BD-4967-4A0A-B6A8-71F7B5366B80}"/>
    <hyperlink ref="F4" r:id="rId3" xr:uid="{F068582C-BC74-4F08-BC8D-0CEBF07F58BA}"/>
  </hyperlinks>
  <pageMargins left="0.70866141732283472" right="0.70866141732283472" top="0.74803149606299213" bottom="0.74803149606299213" header="0.31496062992125984" footer="0.31496062992125984"/>
  <pageSetup paperSize="8" scale="26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34E2-EB1C-4472-988A-F18A3DBB3F98}">
  <sheetPr codeName="Sheet3">
    <pageSetUpPr fitToPage="1"/>
  </sheetPr>
  <dimension ref="B2:O208"/>
  <sheetViews>
    <sheetView tabSelected="1" zoomScale="115" zoomScaleNormal="115" workbookViewId="0">
      <selection activeCell="O9" sqref="O9"/>
    </sheetView>
    <sheetView workbookViewId="1"/>
  </sheetViews>
  <sheetFormatPr defaultRowHeight="15" x14ac:dyDescent="0.25"/>
  <cols>
    <col min="1" max="1" width="2.85546875" customWidth="1"/>
    <col min="2" max="2" width="5.85546875" customWidth="1"/>
    <col min="3" max="3" width="4.85546875" customWidth="1"/>
    <col min="4" max="4" width="33.5703125" customWidth="1"/>
    <col min="5" max="5" width="3.5703125" style="60" customWidth="1"/>
    <col min="6" max="6" width="14.7109375" style="1" customWidth="1"/>
    <col min="7" max="7" width="13.7109375" style="1" customWidth="1"/>
    <col min="8" max="8" width="14.140625" style="1" customWidth="1"/>
    <col min="9" max="9" width="3.85546875" style="64" customWidth="1"/>
    <col min="10" max="10" width="2.5703125" customWidth="1"/>
    <col min="11" max="11" width="13.85546875" customWidth="1"/>
    <col min="12" max="12" width="8.28515625" customWidth="1"/>
    <col min="13" max="13" width="15.7109375" style="64" customWidth="1"/>
    <col min="14" max="14" width="15.7109375" customWidth="1"/>
    <col min="15" max="15" width="15.7109375" style="71" customWidth="1"/>
    <col min="16" max="16" width="3.7109375" customWidth="1"/>
    <col min="17" max="17" width="12.42578125" customWidth="1"/>
    <col min="18" max="18" width="11.5703125" bestFit="1" customWidth="1"/>
    <col min="20" max="20" width="11.28515625" bestFit="1" customWidth="1"/>
  </cols>
  <sheetData>
    <row r="2" spans="2:15" x14ac:dyDescent="0.25">
      <c r="E2" s="60" t="s">
        <v>567</v>
      </c>
      <c r="F2" s="1" t="s">
        <v>569</v>
      </c>
      <c r="K2" s="63" t="s">
        <v>492</v>
      </c>
    </row>
    <row r="3" spans="2:15" x14ac:dyDescent="0.25">
      <c r="E3" s="92" t="s">
        <v>568</v>
      </c>
      <c r="F3" s="1" t="s">
        <v>609</v>
      </c>
      <c r="K3" s="63" t="s">
        <v>493</v>
      </c>
    </row>
    <row r="4" spans="2:15" x14ac:dyDescent="0.25">
      <c r="E4" s="91" t="s">
        <v>479</v>
      </c>
      <c r="F4" s="1" t="s">
        <v>610</v>
      </c>
      <c r="K4" s="63" t="s">
        <v>494</v>
      </c>
    </row>
    <row r="5" spans="2:15" x14ac:dyDescent="0.25">
      <c r="E5" s="91" t="s">
        <v>497</v>
      </c>
      <c r="F5" s="1" t="s">
        <v>570</v>
      </c>
      <c r="K5" s="63" t="s">
        <v>527</v>
      </c>
    </row>
    <row r="6" spans="2:15" x14ac:dyDescent="0.25">
      <c r="E6" s="91"/>
      <c r="K6" s="63" t="s">
        <v>676</v>
      </c>
      <c r="M6"/>
    </row>
    <row r="7" spans="2:15" x14ac:dyDescent="0.25">
      <c r="E7" s="91"/>
      <c r="K7" s="63" t="s">
        <v>677</v>
      </c>
      <c r="M7"/>
    </row>
    <row r="8" spans="2:15" x14ac:dyDescent="0.25">
      <c r="E8" s="91"/>
      <c r="K8" s="63" t="s">
        <v>666</v>
      </c>
      <c r="M8"/>
    </row>
    <row r="9" spans="2:15" x14ac:dyDescent="0.25">
      <c r="E9" s="91"/>
      <c r="K9" s="63" t="s">
        <v>495</v>
      </c>
      <c r="M9"/>
    </row>
    <row r="10" spans="2:15" x14ac:dyDescent="0.25">
      <c r="E10" s="91"/>
      <c r="K10" s="63" t="s">
        <v>674</v>
      </c>
      <c r="M10"/>
    </row>
    <row r="11" spans="2:15" x14ac:dyDescent="0.25">
      <c r="E11" s="91"/>
      <c r="M11"/>
    </row>
    <row r="12" spans="2:15" ht="48" x14ac:dyDescent="0.25">
      <c r="E12" s="91"/>
      <c r="F12" s="76" t="s">
        <v>103</v>
      </c>
      <c r="G12" s="76" t="s">
        <v>476</v>
      </c>
      <c r="H12" s="76" t="s">
        <v>302</v>
      </c>
      <c r="I12" s="126" t="s">
        <v>667</v>
      </c>
      <c r="K12" s="64" t="s">
        <v>525</v>
      </c>
      <c r="L12" s="64" t="s">
        <v>532</v>
      </c>
      <c r="M12" s="64" t="s">
        <v>530</v>
      </c>
      <c r="N12" s="64" t="s">
        <v>675</v>
      </c>
      <c r="O12" s="64" t="s">
        <v>528</v>
      </c>
    </row>
    <row r="13" spans="2:15" x14ac:dyDescent="0.25">
      <c r="E13" s="91"/>
      <c r="M13"/>
    </row>
    <row r="14" spans="2:15" x14ac:dyDescent="0.25">
      <c r="B14" t="s">
        <v>448</v>
      </c>
    </row>
    <row r="15" spans="2:15" x14ac:dyDescent="0.25">
      <c r="C15" t="s">
        <v>430</v>
      </c>
    </row>
    <row r="16" spans="2:15" x14ac:dyDescent="0.25">
      <c r="D16" s="12" t="s">
        <v>448</v>
      </c>
      <c r="E16" s="61"/>
      <c r="F16" s="70" t="s">
        <v>477</v>
      </c>
      <c r="G16" s="70" t="s">
        <v>477</v>
      </c>
      <c r="H16" s="70" t="s">
        <v>477</v>
      </c>
      <c r="I16" s="68" t="s">
        <v>11</v>
      </c>
      <c r="K16" s="63" t="s">
        <v>493</v>
      </c>
      <c r="L16" s="72" t="s">
        <v>531</v>
      </c>
      <c r="M16" s="69">
        <v>0</v>
      </c>
      <c r="N16" s="100">
        <f ca="1">CalculateInvestment(Assesment!$J$73,K16,L16,$F16:$I16,M16,Assesment!$F$28,E16)</f>
        <v>0</v>
      </c>
      <c r="O16" s="63"/>
    </row>
    <row r="17" spans="3:15" x14ac:dyDescent="0.25">
      <c r="D17" s="12" t="s">
        <v>516</v>
      </c>
      <c r="E17" s="61" t="s">
        <v>567</v>
      </c>
      <c r="F17" s="57">
        <v>250</v>
      </c>
      <c r="G17" s="58">
        <v>200</v>
      </c>
      <c r="H17" s="59">
        <v>75</v>
      </c>
      <c r="I17" s="68" t="s">
        <v>11</v>
      </c>
      <c r="K17" s="63" t="s">
        <v>493</v>
      </c>
      <c r="L17" s="72" t="s">
        <v>531</v>
      </c>
      <c r="M17" s="69">
        <v>0</v>
      </c>
      <c r="N17" s="100">
        <f ca="1">CalculateInvestmentPerFoot(Assesment!$J$73,K17,L17,$F17:$I17,M17,Assesment!$F$28)</f>
        <v>0</v>
      </c>
      <c r="O17" s="63"/>
    </row>
    <row r="18" spans="3:15" x14ac:dyDescent="0.25">
      <c r="D18" s="12" t="s">
        <v>405</v>
      </c>
      <c r="E18" s="61" t="s">
        <v>567</v>
      </c>
      <c r="F18" s="57">
        <v>120</v>
      </c>
      <c r="G18" s="58">
        <v>50</v>
      </c>
      <c r="H18" s="59">
        <v>25</v>
      </c>
      <c r="I18" s="68" t="s">
        <v>11</v>
      </c>
      <c r="K18" s="63" t="s">
        <v>493</v>
      </c>
      <c r="L18" s="72" t="s">
        <v>531</v>
      </c>
      <c r="M18" s="69">
        <v>0</v>
      </c>
      <c r="N18" s="100">
        <f ca="1">CalculateInvestmentPerFoot(Assesment!$J$73,K18,L18,$F18:$I18,M18,Assesment!$F$28)</f>
        <v>0</v>
      </c>
      <c r="O18" s="63"/>
    </row>
    <row r="19" spans="3:15" x14ac:dyDescent="0.25">
      <c r="D19" s="12" t="s">
        <v>402</v>
      </c>
      <c r="E19" s="61" t="s">
        <v>567</v>
      </c>
      <c r="F19" s="57">
        <v>500</v>
      </c>
      <c r="G19" s="58">
        <v>125</v>
      </c>
      <c r="H19" s="59">
        <v>25</v>
      </c>
      <c r="I19" s="68" t="s">
        <v>11</v>
      </c>
      <c r="K19" s="63" t="s">
        <v>493</v>
      </c>
      <c r="L19" s="72" t="s">
        <v>531</v>
      </c>
      <c r="M19" s="69">
        <v>0</v>
      </c>
      <c r="N19" s="100">
        <f ca="1">CalculateInvestmentPerFoot(Assesment!$J$73,K19,L19,$F19:$I19,M19,Assesment!$F$28)</f>
        <v>0</v>
      </c>
      <c r="O19" s="63"/>
    </row>
    <row r="20" spans="3:15" x14ac:dyDescent="0.25">
      <c r="D20" s="12" t="s">
        <v>478</v>
      </c>
      <c r="E20" s="61" t="s">
        <v>567</v>
      </c>
      <c r="F20" s="57">
        <v>75</v>
      </c>
      <c r="G20" s="58">
        <v>40</v>
      </c>
      <c r="H20" s="59">
        <v>25</v>
      </c>
      <c r="I20" s="68" t="s">
        <v>11</v>
      </c>
      <c r="K20" s="63" t="s">
        <v>527</v>
      </c>
      <c r="L20" s="72" t="s">
        <v>531</v>
      </c>
      <c r="M20" s="69">
        <v>0</v>
      </c>
      <c r="N20" s="100">
        <f ca="1">CalculateInvestmentPerFoot(Assesment!$J$73,K20,L20,$F20:$I20,M20,Assesment!$F$28)</f>
        <v>1680</v>
      </c>
      <c r="O20" s="63"/>
    </row>
    <row r="21" spans="3:15" x14ac:dyDescent="0.25">
      <c r="D21" s="12" t="s">
        <v>403</v>
      </c>
      <c r="E21" s="61"/>
      <c r="F21" s="57">
        <v>10000</v>
      </c>
      <c r="G21" s="58">
        <v>4000</v>
      </c>
      <c r="H21" s="59">
        <v>2500</v>
      </c>
      <c r="I21" s="68" t="s">
        <v>11</v>
      </c>
      <c r="K21" s="63" t="s">
        <v>493</v>
      </c>
      <c r="L21" s="72" t="s">
        <v>531</v>
      </c>
      <c r="M21" s="69">
        <v>0</v>
      </c>
      <c r="N21" s="100">
        <f ca="1">CalculateInvestment(Assesment!$J$73,K21,L21,$F21:$I21,M21,Assesment!$F$28,E21)</f>
        <v>0</v>
      </c>
      <c r="O21" s="63"/>
    </row>
    <row r="22" spans="3:15" x14ac:dyDescent="0.25">
      <c r="D22" s="12" t="s">
        <v>404</v>
      </c>
      <c r="E22" s="93" t="s">
        <v>568</v>
      </c>
      <c r="F22" s="57">
        <v>4000</v>
      </c>
      <c r="G22" s="58">
        <v>2500</v>
      </c>
      <c r="H22" s="59">
        <v>1600</v>
      </c>
      <c r="I22" s="68" t="s">
        <v>11</v>
      </c>
      <c r="K22" s="63" t="s">
        <v>492</v>
      </c>
      <c r="L22" s="72" t="s">
        <v>531</v>
      </c>
      <c r="M22" s="69">
        <v>0</v>
      </c>
      <c r="N22" s="100">
        <f ca="1">CalculateInvestment(Assesment!$J$73,K22,L22,$F22:$I22,M22,Assesment!$F$28,E22)</f>
        <v>0</v>
      </c>
      <c r="O22" s="63"/>
    </row>
    <row r="23" spans="3:15" x14ac:dyDescent="0.25">
      <c r="D23" s="12" t="s">
        <v>418</v>
      </c>
      <c r="E23" s="93" t="s">
        <v>568</v>
      </c>
      <c r="F23" s="57">
        <v>6000</v>
      </c>
      <c r="G23" s="58">
        <v>5000</v>
      </c>
      <c r="H23" s="59">
        <v>4000</v>
      </c>
      <c r="K23" s="63" t="s">
        <v>492</v>
      </c>
      <c r="L23" s="72" t="s">
        <v>531</v>
      </c>
      <c r="M23" s="69">
        <v>0</v>
      </c>
      <c r="N23" s="100">
        <f ca="1">CalculateInvestment(Assesment!$J$73,K23,L23,$F23:$I23,M23,Assesment!$F$28,E23)</f>
        <v>0</v>
      </c>
      <c r="O23" s="63"/>
    </row>
    <row r="24" spans="3:15" x14ac:dyDescent="0.25">
      <c r="C24" t="s">
        <v>431</v>
      </c>
      <c r="F24"/>
      <c r="G24"/>
      <c r="H24"/>
      <c r="L24" s="64"/>
      <c r="M24"/>
      <c r="N24" s="101"/>
      <c r="O24"/>
    </row>
    <row r="25" spans="3:15" x14ac:dyDescent="0.25">
      <c r="D25" s="12" t="s">
        <v>571</v>
      </c>
      <c r="E25" s="93" t="s">
        <v>568</v>
      </c>
      <c r="F25" s="57">
        <v>3000</v>
      </c>
      <c r="G25" s="58">
        <v>2500</v>
      </c>
      <c r="H25" s="59">
        <v>2000</v>
      </c>
      <c r="I25" s="68" t="s">
        <v>11</v>
      </c>
      <c r="K25" s="63" t="s">
        <v>493</v>
      </c>
      <c r="L25" s="72" t="s">
        <v>531</v>
      </c>
      <c r="M25" s="69">
        <v>0</v>
      </c>
      <c r="N25" s="100">
        <f ca="1">CalculateInvestment(Assesment!$J$73,K25,L25,$F25:$I25,M25,Assesment!$F$28,E25)</f>
        <v>0</v>
      </c>
      <c r="O25" s="63"/>
    </row>
    <row r="26" spans="3:15" x14ac:dyDescent="0.25">
      <c r="D26" s="12" t="s">
        <v>572</v>
      </c>
      <c r="E26" s="62"/>
      <c r="F26" s="57">
        <v>3000</v>
      </c>
      <c r="G26" s="58">
        <v>2800</v>
      </c>
      <c r="H26" s="59">
        <v>2000</v>
      </c>
      <c r="I26" s="68" t="s">
        <v>11</v>
      </c>
      <c r="K26" s="63" t="s">
        <v>493</v>
      </c>
      <c r="L26" s="72" t="s">
        <v>531</v>
      </c>
      <c r="M26" s="69">
        <v>0</v>
      </c>
      <c r="N26" s="100">
        <f ca="1">CalculateInvestment(Assesment!$J$73,K26,L26,$F26:$I26,M26,Assesment!$F$28,E26)</f>
        <v>0</v>
      </c>
      <c r="O26" s="63"/>
    </row>
    <row r="27" spans="3:15" x14ac:dyDescent="0.25">
      <c r="D27" s="12" t="s">
        <v>419</v>
      </c>
      <c r="E27" s="61"/>
      <c r="F27" s="57">
        <v>400</v>
      </c>
      <c r="G27" s="58">
        <v>300</v>
      </c>
      <c r="H27" s="59">
        <v>250</v>
      </c>
      <c r="I27" s="68" t="s">
        <v>11</v>
      </c>
      <c r="K27" s="63" t="s">
        <v>493</v>
      </c>
      <c r="L27" s="72" t="s">
        <v>531</v>
      </c>
      <c r="M27" s="69">
        <v>0</v>
      </c>
      <c r="N27" s="100">
        <f ca="1">CalculateInvestment(Assesment!$J$73,K27,L27,$F27:$I27,M27,Assesment!$F$28,E27)</f>
        <v>0</v>
      </c>
      <c r="O27" s="63"/>
    </row>
    <row r="28" spans="3:15" x14ac:dyDescent="0.25">
      <c r="D28" s="12" t="s">
        <v>420</v>
      </c>
      <c r="E28" s="61"/>
      <c r="F28" s="57">
        <v>1000</v>
      </c>
      <c r="G28" s="58">
        <v>800</v>
      </c>
      <c r="H28" s="59">
        <v>600</v>
      </c>
      <c r="I28" s="68" t="s">
        <v>11</v>
      </c>
      <c r="K28" s="63" t="s">
        <v>493</v>
      </c>
      <c r="L28" s="72" t="s">
        <v>531</v>
      </c>
      <c r="M28" s="69">
        <v>0</v>
      </c>
      <c r="N28" s="100">
        <f ca="1">CalculateInvestment(Assesment!$J$73,K28,L28,$F28:$I28,M28,Assesment!$F$28,E28)</f>
        <v>0</v>
      </c>
      <c r="O28" s="63"/>
    </row>
    <row r="29" spans="3:15" x14ac:dyDescent="0.25">
      <c r="C29" t="s">
        <v>432</v>
      </c>
      <c r="N29" s="64"/>
    </row>
    <row r="30" spans="3:15" x14ac:dyDescent="0.25">
      <c r="D30" s="12" t="s">
        <v>480</v>
      </c>
      <c r="E30" s="61"/>
      <c r="F30" s="57">
        <v>0</v>
      </c>
      <c r="G30" s="58">
        <v>0</v>
      </c>
      <c r="H30" s="59">
        <v>0</v>
      </c>
      <c r="I30" s="68" t="s">
        <v>11</v>
      </c>
      <c r="K30" s="63" t="s">
        <v>492</v>
      </c>
      <c r="L30" s="72" t="s">
        <v>531</v>
      </c>
      <c r="M30" s="69">
        <v>0</v>
      </c>
      <c r="N30" s="100">
        <f ca="1">CalculateInvestment(Assesment!$J$73,K30,L30,$F30:$I30,M30,Assesment!$F$28,E30)</f>
        <v>0</v>
      </c>
      <c r="O30" s="63"/>
    </row>
    <row r="31" spans="3:15" x14ac:dyDescent="0.25">
      <c r="D31" s="12" t="s">
        <v>573</v>
      </c>
      <c r="E31" s="93" t="s">
        <v>568</v>
      </c>
      <c r="F31" s="57">
        <v>5000</v>
      </c>
      <c r="G31" s="58">
        <v>4200</v>
      </c>
      <c r="H31" s="59">
        <v>3600</v>
      </c>
      <c r="I31" s="68" t="s">
        <v>11</v>
      </c>
      <c r="K31" s="63" t="s">
        <v>492</v>
      </c>
      <c r="L31" s="72" t="s">
        <v>531</v>
      </c>
      <c r="M31" s="69">
        <v>0</v>
      </c>
      <c r="N31" s="100">
        <f ca="1">CalculateInvestment(Assesment!$J$73,K31,L31,$F31:$I31,M31,Assesment!$F$28,E31)</f>
        <v>0</v>
      </c>
      <c r="O31" s="63"/>
    </row>
    <row r="32" spans="3:15" x14ac:dyDescent="0.25">
      <c r="D32" s="12" t="s">
        <v>574</v>
      </c>
      <c r="E32" s="93" t="s">
        <v>568</v>
      </c>
      <c r="F32" s="57">
        <v>3000</v>
      </c>
      <c r="G32" s="58">
        <v>2500</v>
      </c>
      <c r="H32" s="59">
        <v>2500</v>
      </c>
      <c r="I32" s="68" t="s">
        <v>11</v>
      </c>
      <c r="K32" s="63" t="s">
        <v>492</v>
      </c>
      <c r="L32" s="72" t="s">
        <v>531</v>
      </c>
      <c r="M32" s="69">
        <v>0</v>
      </c>
      <c r="N32" s="100">
        <f ca="1">CalculateInvestment(Assesment!$J$73,K32,L32,$F32:$I32,M32,Assesment!$F$28,E32)</f>
        <v>0</v>
      </c>
      <c r="O32" s="63"/>
    </row>
    <row r="33" spans="3:15" x14ac:dyDescent="0.25">
      <c r="D33" s="12" t="s">
        <v>575</v>
      </c>
      <c r="E33" s="93" t="s">
        <v>568</v>
      </c>
      <c r="F33" s="57">
        <v>2000</v>
      </c>
      <c r="G33" s="58">
        <v>1500</v>
      </c>
      <c r="H33" s="59">
        <v>1500</v>
      </c>
      <c r="I33" s="68" t="s">
        <v>11</v>
      </c>
      <c r="K33" s="63" t="s">
        <v>492</v>
      </c>
      <c r="L33" s="72" t="s">
        <v>531</v>
      </c>
      <c r="M33" s="69">
        <v>0</v>
      </c>
      <c r="N33" s="100">
        <f ca="1">CalculateInvestment(Assesment!$J$73,K33,L33,$F33:$I33,M33,Assesment!$F$28,E33)</f>
        <v>0</v>
      </c>
      <c r="O33" s="63"/>
    </row>
    <row r="34" spans="3:15" x14ac:dyDescent="0.25">
      <c r="D34" s="12" t="s">
        <v>576</v>
      </c>
      <c r="E34" s="93" t="s">
        <v>568</v>
      </c>
      <c r="F34" s="57">
        <v>11000</v>
      </c>
      <c r="G34" s="58">
        <v>8000</v>
      </c>
      <c r="H34" s="59">
        <v>8000</v>
      </c>
      <c r="I34" s="68" t="s">
        <v>11</v>
      </c>
      <c r="K34" s="63" t="s">
        <v>492</v>
      </c>
      <c r="L34" s="72" t="s">
        <v>531</v>
      </c>
      <c r="M34" s="69">
        <v>0</v>
      </c>
      <c r="N34" s="100">
        <f ca="1">CalculateInvestment(Assesment!$J$73,K34,L34,$F34:$I34,M34,Assesment!$F$28,E34)</f>
        <v>0</v>
      </c>
      <c r="O34" s="63"/>
    </row>
    <row r="35" spans="3:15" x14ac:dyDescent="0.25">
      <c r="D35" s="12" t="s">
        <v>481</v>
      </c>
      <c r="E35" s="93" t="s">
        <v>568</v>
      </c>
      <c r="F35" s="57">
        <v>2000</v>
      </c>
      <c r="G35" s="58">
        <v>1500</v>
      </c>
      <c r="H35" s="59">
        <v>1000</v>
      </c>
      <c r="I35" s="68" t="s">
        <v>11</v>
      </c>
      <c r="K35" s="63" t="s">
        <v>492</v>
      </c>
      <c r="L35" s="72" t="s">
        <v>531</v>
      </c>
      <c r="M35" s="69">
        <v>0</v>
      </c>
      <c r="N35" s="100">
        <f ca="1">CalculateInvestment(Assesment!$J$73,K35,L35,$F35:$I35,M35,Assesment!$F$28,E35)</f>
        <v>0</v>
      </c>
      <c r="O35" s="63"/>
    </row>
    <row r="36" spans="3:15" x14ac:dyDescent="0.25">
      <c r="D36" s="12" t="s">
        <v>577</v>
      </c>
      <c r="E36" s="93" t="s">
        <v>568</v>
      </c>
      <c r="F36" s="57">
        <v>2000</v>
      </c>
      <c r="G36" s="58">
        <v>1700</v>
      </c>
      <c r="H36" s="59">
        <v>1700</v>
      </c>
      <c r="I36" s="68" t="s">
        <v>11</v>
      </c>
      <c r="K36" s="63" t="s">
        <v>492</v>
      </c>
      <c r="L36" s="72" t="s">
        <v>531</v>
      </c>
      <c r="M36" s="69">
        <v>0</v>
      </c>
      <c r="N36" s="100">
        <f ca="1">CalculateInvestment(Assesment!$J$73,K36,L36,$F36:$I36,M36,Assesment!$F$28,E36)</f>
        <v>0</v>
      </c>
      <c r="O36" s="63"/>
    </row>
    <row r="37" spans="3:15" x14ac:dyDescent="0.25">
      <c r="D37" s="12" t="s">
        <v>472</v>
      </c>
      <c r="E37" s="93" t="s">
        <v>568</v>
      </c>
      <c r="F37" s="57">
        <v>6000</v>
      </c>
      <c r="G37" s="58">
        <v>4500</v>
      </c>
      <c r="H37" s="59">
        <v>3500</v>
      </c>
      <c r="I37" s="68" t="s">
        <v>11</v>
      </c>
      <c r="K37" s="63" t="s">
        <v>493</v>
      </c>
      <c r="L37" s="72" t="s">
        <v>531</v>
      </c>
      <c r="M37" s="69">
        <v>0</v>
      </c>
      <c r="N37" s="100">
        <f ca="1">CalculateInvestment(Assesment!$J$73,K37,L37,$F37:$I37,M37,Assesment!$F$28,E37)</f>
        <v>0</v>
      </c>
      <c r="O37" s="63"/>
    </row>
    <row r="38" spans="3:15" x14ac:dyDescent="0.25">
      <c r="C38" t="s">
        <v>433</v>
      </c>
      <c r="K38" s="63" t="s">
        <v>492</v>
      </c>
      <c r="L38" s="72" t="s">
        <v>531</v>
      </c>
      <c r="M38" s="69">
        <v>0</v>
      </c>
      <c r="N38" s="100">
        <f ca="1">CalculateInvestment(Assesment!$J$73,K38,L38,$F38:$I38,M38,Assesment!$F$28,E38)</f>
        <v>0</v>
      </c>
      <c r="O38" s="63"/>
    </row>
    <row r="39" spans="3:15" x14ac:dyDescent="0.25">
      <c r="D39" s="12" t="s">
        <v>448</v>
      </c>
      <c r="E39" s="61"/>
      <c r="F39" s="70" t="s">
        <v>477</v>
      </c>
      <c r="G39" s="70" t="s">
        <v>477</v>
      </c>
      <c r="H39" s="70" t="s">
        <v>477</v>
      </c>
      <c r="I39" s="68" t="s">
        <v>11</v>
      </c>
      <c r="K39" s="63" t="s">
        <v>492</v>
      </c>
      <c r="L39" s="72" t="s">
        <v>531</v>
      </c>
      <c r="M39" s="69">
        <v>0</v>
      </c>
      <c r="N39" s="100">
        <f ca="1">CalculateInvestment(Assesment!$J$73,K39,L39,$F39:$I39,M39,Assesment!$F$28,E39)</f>
        <v>0</v>
      </c>
      <c r="O39" s="63"/>
    </row>
    <row r="40" spans="3:15" x14ac:dyDescent="0.25">
      <c r="D40" s="12" t="s">
        <v>449</v>
      </c>
      <c r="E40" s="61"/>
      <c r="F40" s="57">
        <v>1000</v>
      </c>
      <c r="G40" s="58">
        <v>5000</v>
      </c>
      <c r="H40" s="59">
        <v>3500</v>
      </c>
      <c r="I40" s="68" t="s">
        <v>11</v>
      </c>
      <c r="K40" s="63" t="s">
        <v>492</v>
      </c>
      <c r="L40" s="72" t="s">
        <v>531</v>
      </c>
      <c r="M40" s="69">
        <v>0</v>
      </c>
      <c r="N40" s="100">
        <f ca="1">CalculateInvestment(Assesment!$J$73,K40,L40,$F40:$I40,M40,Assesment!$F$28,E40)</f>
        <v>0</v>
      </c>
      <c r="O40" s="63"/>
    </row>
    <row r="41" spans="3:15" x14ac:dyDescent="0.25">
      <c r="D41" s="12" t="s">
        <v>447</v>
      </c>
      <c r="E41" s="93" t="s">
        <v>568</v>
      </c>
      <c r="F41" s="57">
        <v>3000</v>
      </c>
      <c r="G41" s="58">
        <v>500</v>
      </c>
      <c r="H41" s="59">
        <v>100</v>
      </c>
      <c r="I41" s="68" t="s">
        <v>11</v>
      </c>
      <c r="K41" s="63" t="s">
        <v>492</v>
      </c>
      <c r="L41" s="72" t="s">
        <v>531</v>
      </c>
      <c r="M41" s="69">
        <v>0</v>
      </c>
      <c r="N41" s="100">
        <f ca="1">CalculateInvestment(Assesment!$J$73,K41,L41,$F41:$I41,M41,Assesment!$F$28,E41)</f>
        <v>0</v>
      </c>
      <c r="O41" s="63"/>
    </row>
    <row r="42" spans="3:15" x14ac:dyDescent="0.25">
      <c r="D42" s="12" t="s">
        <v>422</v>
      </c>
      <c r="E42" s="93" t="s">
        <v>568</v>
      </c>
      <c r="F42" s="57">
        <v>3000</v>
      </c>
      <c r="G42" s="58">
        <v>1500</v>
      </c>
      <c r="H42" s="59">
        <v>400</v>
      </c>
      <c r="I42" s="68" t="s">
        <v>11</v>
      </c>
      <c r="K42" s="63" t="s">
        <v>492</v>
      </c>
      <c r="L42" s="72" t="s">
        <v>531</v>
      </c>
      <c r="M42" s="69">
        <v>0</v>
      </c>
      <c r="N42" s="100">
        <f ca="1">CalculateInvestment(Assesment!$J$73,K42,L42,$F42:$I42,M42,Assesment!$F$28,E42)</f>
        <v>0</v>
      </c>
      <c r="O42" s="63"/>
    </row>
    <row r="43" spans="3:15" x14ac:dyDescent="0.25">
      <c r="D43" s="12" t="s">
        <v>423</v>
      </c>
      <c r="E43" s="93" t="s">
        <v>568</v>
      </c>
      <c r="F43" s="57">
        <v>2000</v>
      </c>
      <c r="G43" s="58">
        <v>1500</v>
      </c>
      <c r="H43" s="59">
        <v>1500</v>
      </c>
      <c r="I43" s="68" t="s">
        <v>11</v>
      </c>
      <c r="K43" s="63" t="s">
        <v>493</v>
      </c>
      <c r="L43" s="72" t="s">
        <v>531</v>
      </c>
      <c r="M43" s="69">
        <v>0</v>
      </c>
      <c r="N43" s="100">
        <f ca="1">CalculateInvestment(Assesment!$J$73,K43,L43,$F43:$I43,M43,Assesment!$F$28,E43)</f>
        <v>0</v>
      </c>
      <c r="O43" s="63"/>
    </row>
    <row r="44" spans="3:15" x14ac:dyDescent="0.25">
      <c r="D44" s="12" t="s">
        <v>578</v>
      </c>
      <c r="E44" s="62"/>
      <c r="F44" s="57">
        <v>2000</v>
      </c>
      <c r="G44" s="58">
        <v>1400</v>
      </c>
      <c r="H44" s="59">
        <v>1400</v>
      </c>
      <c r="I44" s="68" t="s">
        <v>11</v>
      </c>
      <c r="K44" s="63" t="s">
        <v>493</v>
      </c>
      <c r="L44" s="72" t="s">
        <v>531</v>
      </c>
      <c r="M44" s="69">
        <v>0</v>
      </c>
      <c r="N44" s="100">
        <f ca="1">CalculateInvestment(Assesment!$J$73,K44,L44,$F44:$I44,M44,Assesment!$F$28,E44)</f>
        <v>0</v>
      </c>
      <c r="O44" s="63"/>
    </row>
    <row r="45" spans="3:15" x14ac:dyDescent="0.25">
      <c r="D45" s="12" t="s">
        <v>579</v>
      </c>
      <c r="E45" s="62"/>
      <c r="F45" s="57">
        <v>1800</v>
      </c>
      <c r="G45" s="58">
        <v>1100</v>
      </c>
      <c r="H45" s="59">
        <v>1100</v>
      </c>
      <c r="I45" s="68" t="s">
        <v>11</v>
      </c>
      <c r="K45" s="63" t="s">
        <v>493</v>
      </c>
      <c r="L45" s="72" t="s">
        <v>531</v>
      </c>
      <c r="M45" s="69">
        <v>0</v>
      </c>
      <c r="N45" s="100">
        <f ca="1">CalculateInvestment(Assesment!$J$73,K45,L45,$F45:$I45,M45,Assesment!$F$28,E45)</f>
        <v>0</v>
      </c>
      <c r="O45" s="63"/>
    </row>
    <row r="46" spans="3:15" x14ac:dyDescent="0.25">
      <c r="D46" s="12" t="s">
        <v>580</v>
      </c>
      <c r="E46" s="62"/>
      <c r="F46" s="57">
        <v>5000</v>
      </c>
      <c r="G46" s="58">
        <v>4000</v>
      </c>
      <c r="H46" s="59">
        <v>4000</v>
      </c>
      <c r="K46" s="63" t="s">
        <v>493</v>
      </c>
      <c r="L46" s="72" t="s">
        <v>531</v>
      </c>
      <c r="M46" s="69">
        <v>0</v>
      </c>
      <c r="N46" s="100">
        <f ca="1">CalculateInvestment(Assesment!$J$73,K46,L46,$F46:$I46,M46,Assesment!$F$28,E46)</f>
        <v>0</v>
      </c>
      <c r="O46" s="63"/>
    </row>
    <row r="47" spans="3:15" x14ac:dyDescent="0.25">
      <c r="D47" s="12" t="s">
        <v>496</v>
      </c>
      <c r="E47" s="62"/>
      <c r="F47" s="57">
        <v>0</v>
      </c>
      <c r="G47" s="58">
        <v>0</v>
      </c>
      <c r="H47" s="59">
        <v>0</v>
      </c>
      <c r="K47" s="63" t="s">
        <v>493</v>
      </c>
      <c r="L47" s="72" t="s">
        <v>531</v>
      </c>
      <c r="M47" s="69">
        <v>0</v>
      </c>
      <c r="N47" s="100">
        <f ca="1">CalculateInvestment(Assesment!$J$73,K47,L47,$F47:$I47,M47,Assesment!$F$28,E47)</f>
        <v>0</v>
      </c>
      <c r="O47" s="63"/>
    </row>
    <row r="48" spans="3:15" x14ac:dyDescent="0.25">
      <c r="D48" s="12" t="s">
        <v>581</v>
      </c>
      <c r="E48" s="93" t="s">
        <v>568</v>
      </c>
      <c r="F48" s="57">
        <v>1500</v>
      </c>
      <c r="G48" s="58">
        <v>1000</v>
      </c>
      <c r="H48" s="59">
        <v>1000</v>
      </c>
      <c r="I48" s="68" t="s">
        <v>11</v>
      </c>
      <c r="K48" s="63" t="s">
        <v>493</v>
      </c>
      <c r="L48" s="72" t="s">
        <v>531</v>
      </c>
      <c r="M48" s="69">
        <v>0</v>
      </c>
      <c r="N48" s="100">
        <f ca="1">CalculateInvestment(Assesment!$J$73,K48,L48,$F48:$I48,M48,Assesment!$F$28,E48)</f>
        <v>0</v>
      </c>
      <c r="O48" s="63"/>
    </row>
    <row r="49" spans="2:15" x14ac:dyDescent="0.25">
      <c r="D49" s="12" t="s">
        <v>421</v>
      </c>
      <c r="E49" s="61"/>
      <c r="F49" s="57">
        <v>2000</v>
      </c>
      <c r="G49" s="58">
        <v>400</v>
      </c>
      <c r="H49" s="59">
        <v>250</v>
      </c>
      <c r="K49" s="63" t="s">
        <v>492</v>
      </c>
      <c r="L49" s="72" t="s">
        <v>531</v>
      </c>
      <c r="M49" s="69">
        <v>0</v>
      </c>
      <c r="N49" s="100">
        <f ca="1">CalculateInvestment(Assesment!$J$73,K49,L49,$F49:$I49,M49,Assesment!$F$28,E49)</f>
        <v>0</v>
      </c>
      <c r="O49" s="63"/>
    </row>
    <row r="50" spans="2:15" x14ac:dyDescent="0.25">
      <c r="D50" s="12" t="s">
        <v>424</v>
      </c>
      <c r="E50" s="61"/>
      <c r="F50" s="57">
        <v>0</v>
      </c>
      <c r="G50" s="58">
        <v>0</v>
      </c>
      <c r="H50" s="59">
        <v>0</v>
      </c>
      <c r="K50" s="63" t="s">
        <v>492</v>
      </c>
      <c r="L50" s="72" t="s">
        <v>531</v>
      </c>
      <c r="M50" s="69">
        <v>0</v>
      </c>
      <c r="N50" s="100">
        <f ca="1">CalculateInvestment(Assesment!$J$73,K50,L50,$F50:$I50,M50,Assesment!$F$28,E50)</f>
        <v>0</v>
      </c>
      <c r="O50" s="63"/>
    </row>
    <row r="51" spans="2:15" x14ac:dyDescent="0.25">
      <c r="N51" s="64"/>
    </row>
    <row r="52" spans="2:15" x14ac:dyDescent="0.25">
      <c r="B52" t="s">
        <v>0</v>
      </c>
      <c r="N52" s="64"/>
    </row>
    <row r="53" spans="2:15" x14ac:dyDescent="0.25">
      <c r="C53" t="s">
        <v>434</v>
      </c>
      <c r="N53" s="64"/>
    </row>
    <row r="54" spans="2:15" x14ac:dyDescent="0.25">
      <c r="D54" s="12" t="s">
        <v>435</v>
      </c>
      <c r="E54" s="93" t="s">
        <v>568</v>
      </c>
      <c r="F54" s="57">
        <v>6000</v>
      </c>
      <c r="G54" s="58">
        <v>4000</v>
      </c>
      <c r="H54" s="59">
        <v>2000</v>
      </c>
      <c r="I54" s="68" t="s">
        <v>11</v>
      </c>
      <c r="K54" s="63" t="s">
        <v>492</v>
      </c>
      <c r="L54" s="72" t="s">
        <v>531</v>
      </c>
      <c r="M54" s="69">
        <v>0</v>
      </c>
      <c r="N54" s="100">
        <f ca="1">CalculateInvestment(Assesment!$J$73,K54,L54,$F54:$I54,M54,Assesment!$F$28,E54)</f>
        <v>0</v>
      </c>
      <c r="O54" s="63"/>
    </row>
    <row r="55" spans="2:15" x14ac:dyDescent="0.25">
      <c r="D55" s="12" t="s">
        <v>417</v>
      </c>
      <c r="E55" s="93" t="s">
        <v>568</v>
      </c>
      <c r="F55" s="57">
        <v>10000</v>
      </c>
      <c r="G55" s="58">
        <v>7000</v>
      </c>
      <c r="H55" s="59">
        <v>4000</v>
      </c>
      <c r="I55" s="68" t="s">
        <v>11</v>
      </c>
      <c r="K55" s="63" t="s">
        <v>492</v>
      </c>
      <c r="L55" s="72" t="s">
        <v>531</v>
      </c>
      <c r="M55" s="69">
        <v>0</v>
      </c>
      <c r="N55" s="100">
        <f ca="1">CalculateInvestment(Assesment!$J$73,K55,L55,$F55:$I55,M55,Assesment!$F$28,E55)</f>
        <v>0</v>
      </c>
      <c r="O55" s="63"/>
    </row>
    <row r="56" spans="2:15" x14ac:dyDescent="0.25">
      <c r="D56" s="12" t="s">
        <v>611</v>
      </c>
      <c r="E56" s="61"/>
      <c r="F56" s="57">
        <v>4000</v>
      </c>
      <c r="G56" s="58">
        <v>3000</v>
      </c>
      <c r="H56" s="59">
        <v>2000</v>
      </c>
      <c r="I56" s="68" t="s">
        <v>11</v>
      </c>
      <c r="K56" s="63" t="s">
        <v>492</v>
      </c>
      <c r="L56" s="72" t="s">
        <v>531</v>
      </c>
      <c r="M56" s="69">
        <v>0</v>
      </c>
      <c r="N56" s="100">
        <f ca="1">CalculateInvestment(Assesment!$J$73,K56,L56,$F56:$I56,M56,Assesment!$F$28,E56)</f>
        <v>0</v>
      </c>
      <c r="O56" s="63"/>
    </row>
    <row r="57" spans="2:15" x14ac:dyDescent="0.25">
      <c r="D57" s="12" t="s">
        <v>425</v>
      </c>
      <c r="E57" s="93" t="s">
        <v>568</v>
      </c>
      <c r="F57" s="57">
        <v>7000</v>
      </c>
      <c r="G57" s="58">
        <v>5000</v>
      </c>
      <c r="H57" s="59">
        <v>4000</v>
      </c>
      <c r="K57" s="63" t="s">
        <v>674</v>
      </c>
      <c r="L57" s="72" t="s">
        <v>531</v>
      </c>
      <c r="M57" s="69">
        <v>0</v>
      </c>
      <c r="N57" s="100">
        <f ca="1">CalculateInvestment(Assesment!$J$73,K57,L57,$F57:$I57,M57,Assesment!$F$28,E57)</f>
        <v>0</v>
      </c>
      <c r="O57" s="63"/>
    </row>
    <row r="58" spans="2:15" x14ac:dyDescent="0.25">
      <c r="C58" t="s">
        <v>436</v>
      </c>
      <c r="N58" s="64"/>
    </row>
    <row r="59" spans="2:15" x14ac:dyDescent="0.25">
      <c r="D59" s="12" t="s">
        <v>293</v>
      </c>
      <c r="E59" s="93" t="s">
        <v>568</v>
      </c>
      <c r="F59" s="57">
        <v>20000</v>
      </c>
      <c r="G59" s="58">
        <v>12000</v>
      </c>
      <c r="H59" s="59">
        <v>6000</v>
      </c>
      <c r="I59" s="68" t="s">
        <v>11</v>
      </c>
      <c r="K59" s="63" t="s">
        <v>493</v>
      </c>
      <c r="L59" s="72" t="s">
        <v>531</v>
      </c>
      <c r="M59" s="69">
        <v>0</v>
      </c>
      <c r="N59" s="100">
        <f ca="1">CalculateInvestment(Assesment!$J$73,K59,L59,$F59:$I59,M59,Assesment!$F$28,E59)</f>
        <v>0</v>
      </c>
      <c r="O59" s="63"/>
    </row>
    <row r="60" spans="2:15" x14ac:dyDescent="0.25">
      <c r="D60" s="12" t="s">
        <v>406</v>
      </c>
      <c r="E60" s="93" t="s">
        <v>568</v>
      </c>
      <c r="F60" s="57">
        <v>4500</v>
      </c>
      <c r="G60" s="58">
        <v>3500</v>
      </c>
      <c r="H60" s="59">
        <v>2500</v>
      </c>
      <c r="I60" s="68" t="s">
        <v>11</v>
      </c>
      <c r="K60" s="63" t="s">
        <v>493</v>
      </c>
      <c r="L60" s="72" t="s">
        <v>531</v>
      </c>
      <c r="M60" s="69">
        <v>0</v>
      </c>
      <c r="N60" s="100">
        <f ca="1">CalculateInvestment(Assesment!$J$73,K60,L60,$F60:$I60,M60,Assesment!$F$28,E60)</f>
        <v>0</v>
      </c>
      <c r="O60" s="63"/>
    </row>
    <row r="61" spans="2:15" x14ac:dyDescent="0.25">
      <c r="D61" s="12" t="s">
        <v>612</v>
      </c>
      <c r="E61" s="93" t="s">
        <v>568</v>
      </c>
      <c r="F61" s="57">
        <v>2500</v>
      </c>
      <c r="G61" s="58">
        <v>1500</v>
      </c>
      <c r="H61" s="59">
        <v>1000</v>
      </c>
      <c r="I61" s="68" t="s">
        <v>11</v>
      </c>
      <c r="K61" s="63" t="s">
        <v>492</v>
      </c>
      <c r="L61" s="72" t="s">
        <v>531</v>
      </c>
      <c r="M61" s="69">
        <v>0</v>
      </c>
      <c r="N61" s="100">
        <f ca="1">CalculateInvestment(Assesment!$J$73,K61,L61,$F61:$I61,M61,Assesment!$F$28,E61)</f>
        <v>0</v>
      </c>
      <c r="O61" s="63"/>
    </row>
    <row r="62" spans="2:15" x14ac:dyDescent="0.25">
      <c r="D62" s="12" t="s">
        <v>299</v>
      </c>
      <c r="E62" s="93" t="s">
        <v>568</v>
      </c>
      <c r="F62" s="57">
        <v>4000</v>
      </c>
      <c r="G62" s="58">
        <v>1000</v>
      </c>
      <c r="H62" s="59">
        <v>600</v>
      </c>
      <c r="I62" s="68" t="s">
        <v>11</v>
      </c>
      <c r="K62" s="63" t="s">
        <v>492</v>
      </c>
      <c r="L62" s="72" t="s">
        <v>531</v>
      </c>
      <c r="M62" s="69">
        <v>0</v>
      </c>
      <c r="N62" s="100">
        <f ca="1">CalculateInvestment(Assesment!$J$73,K62,L62,$F62:$I62,M62,Assesment!$F$28,E62)</f>
        <v>0</v>
      </c>
      <c r="O62" s="63"/>
    </row>
    <row r="63" spans="2:15" x14ac:dyDescent="0.25">
      <c r="D63" s="12" t="s">
        <v>416</v>
      </c>
      <c r="E63" s="93" t="s">
        <v>568</v>
      </c>
      <c r="F63" s="57">
        <v>3500</v>
      </c>
      <c r="G63" s="58">
        <v>2500</v>
      </c>
      <c r="H63" s="59">
        <v>1500</v>
      </c>
      <c r="I63" s="68" t="s">
        <v>11</v>
      </c>
      <c r="K63" s="63" t="s">
        <v>492</v>
      </c>
      <c r="L63" s="72" t="s">
        <v>531</v>
      </c>
      <c r="M63" s="69">
        <v>0</v>
      </c>
      <c r="N63" s="100">
        <f ca="1">CalculateInvestment(Assesment!$J$73,K63,L63,$F63:$I63,M63,Assesment!$F$28,E63)</f>
        <v>0</v>
      </c>
      <c r="O63" s="63"/>
    </row>
    <row r="64" spans="2:15" x14ac:dyDescent="0.25">
      <c r="D64" s="12" t="s">
        <v>407</v>
      </c>
      <c r="E64" s="61"/>
      <c r="F64" s="57">
        <v>300</v>
      </c>
      <c r="G64" s="58">
        <v>200</v>
      </c>
      <c r="H64" s="59">
        <v>150</v>
      </c>
      <c r="I64" s="68" t="s">
        <v>11</v>
      </c>
      <c r="K64" s="63" t="s">
        <v>492</v>
      </c>
      <c r="L64" s="72" t="s">
        <v>531</v>
      </c>
      <c r="M64" s="69">
        <v>0</v>
      </c>
      <c r="N64" s="100">
        <f ca="1">CalculateInvestment(Assesment!$J$73,K64,L64,$F64:$I64,M64,Assesment!$F$28,E64)</f>
        <v>0</v>
      </c>
      <c r="O64" s="63"/>
    </row>
    <row r="65" spans="3:15" x14ac:dyDescent="0.25">
      <c r="D65" s="12" t="s">
        <v>409</v>
      </c>
      <c r="E65" s="61"/>
      <c r="F65" s="57">
        <v>2000</v>
      </c>
      <c r="G65" s="58">
        <v>1200</v>
      </c>
      <c r="H65" s="59">
        <v>600</v>
      </c>
      <c r="I65" s="68" t="s">
        <v>11</v>
      </c>
      <c r="K65" s="63" t="s">
        <v>493</v>
      </c>
      <c r="L65" s="72" t="s">
        <v>531</v>
      </c>
      <c r="M65" s="69">
        <v>0</v>
      </c>
      <c r="N65" s="100">
        <f ca="1">CalculateInvestment(Assesment!$J$73,K65,L65,$F65:$I65,M65,Assesment!$F$28,E65)</f>
        <v>0</v>
      </c>
      <c r="O65" s="63"/>
    </row>
    <row r="66" spans="3:15" x14ac:dyDescent="0.25">
      <c r="D66" s="12" t="s">
        <v>408</v>
      </c>
      <c r="E66" s="61"/>
      <c r="F66" s="57">
        <v>900</v>
      </c>
      <c r="G66" s="58">
        <v>500</v>
      </c>
      <c r="H66" s="59">
        <v>400</v>
      </c>
      <c r="I66" s="68" t="s">
        <v>11</v>
      </c>
      <c r="K66" s="63" t="s">
        <v>493</v>
      </c>
      <c r="L66" s="72" t="s">
        <v>531</v>
      </c>
      <c r="M66" s="69">
        <v>0</v>
      </c>
      <c r="N66" s="100">
        <f ca="1">CalculateInvestment(Assesment!$J$73,K66,L66,$F66:$I66,M66,Assesment!$F$28,E66)</f>
        <v>0</v>
      </c>
      <c r="O66" s="63"/>
    </row>
    <row r="67" spans="3:15" x14ac:dyDescent="0.25">
      <c r="D67" s="12" t="s">
        <v>506</v>
      </c>
      <c r="E67" s="61"/>
      <c r="F67" s="57">
        <v>1500</v>
      </c>
      <c r="G67" s="58">
        <v>1000</v>
      </c>
      <c r="H67" s="59">
        <v>500</v>
      </c>
      <c r="I67" s="68" t="s">
        <v>11</v>
      </c>
      <c r="K67" s="63" t="s">
        <v>492</v>
      </c>
      <c r="L67" s="72" t="s">
        <v>531</v>
      </c>
      <c r="M67" s="69">
        <v>0</v>
      </c>
      <c r="N67" s="100">
        <f ca="1">CalculateInvestment(Assesment!$J$73,K67,L67,$F67:$I67,M67,Assesment!$F$28,E67)</f>
        <v>0</v>
      </c>
      <c r="O67" s="63"/>
    </row>
    <row r="68" spans="3:15" x14ac:dyDescent="0.25">
      <c r="C68" t="s">
        <v>415</v>
      </c>
      <c r="E68"/>
      <c r="F68"/>
      <c r="G68"/>
      <c r="H68"/>
      <c r="N68" s="64"/>
    </row>
    <row r="69" spans="3:15" x14ac:dyDescent="0.25">
      <c r="D69" s="12" t="s">
        <v>415</v>
      </c>
      <c r="E69" s="61"/>
      <c r="F69" s="57">
        <v>15000</v>
      </c>
      <c r="G69" s="58">
        <v>10000</v>
      </c>
      <c r="H69" s="59">
        <v>7000</v>
      </c>
      <c r="K69" s="63" t="s">
        <v>492</v>
      </c>
      <c r="L69" s="72" t="s">
        <v>531</v>
      </c>
      <c r="M69" s="69">
        <v>0</v>
      </c>
      <c r="N69" s="100">
        <f ca="1">CalculateInvestment(Assesment!$J$73,K69,L69,$F69:$I69,M69,Assesment!$F$28,E69)</f>
        <v>0</v>
      </c>
      <c r="O69" s="63"/>
    </row>
    <row r="70" spans="3:15" x14ac:dyDescent="0.25">
      <c r="C70" t="s">
        <v>438</v>
      </c>
      <c r="N70" s="64"/>
    </row>
    <row r="71" spans="3:15" x14ac:dyDescent="0.25">
      <c r="D71" s="12" t="s">
        <v>582</v>
      </c>
      <c r="E71" s="62"/>
      <c r="F71" s="57">
        <v>1000</v>
      </c>
      <c r="G71" s="58">
        <v>700</v>
      </c>
      <c r="H71" s="59">
        <v>600</v>
      </c>
      <c r="I71" s="68" t="s">
        <v>11</v>
      </c>
      <c r="K71" s="63" t="s">
        <v>492</v>
      </c>
      <c r="L71" s="72" t="s">
        <v>531</v>
      </c>
      <c r="M71" s="69">
        <v>0</v>
      </c>
      <c r="N71" s="100">
        <f ca="1">CalculateInvestment(Assesment!$J$73,K71,L71,$F71:$I71,M71,Assesment!$F$28,E71)</f>
        <v>0</v>
      </c>
      <c r="O71" s="63"/>
    </row>
    <row r="72" spans="3:15" x14ac:dyDescent="0.25">
      <c r="D72" s="12" t="s">
        <v>613</v>
      </c>
      <c r="E72" s="62"/>
      <c r="F72" s="57">
        <v>2500</v>
      </c>
      <c r="G72" s="58">
        <v>1500</v>
      </c>
      <c r="H72" s="59">
        <v>800</v>
      </c>
      <c r="K72" s="63" t="s">
        <v>492</v>
      </c>
      <c r="L72" s="72" t="s">
        <v>531</v>
      </c>
      <c r="M72" s="69">
        <v>0</v>
      </c>
      <c r="N72" s="100">
        <f ca="1">CalculateInvestment(Assesment!$J$73,K72,L72,$F72:$I72,M72,Assesment!$F$28,E72)</f>
        <v>0</v>
      </c>
      <c r="O72" s="63"/>
    </row>
    <row r="73" spans="3:15" x14ac:dyDescent="0.25">
      <c r="D73" s="12" t="s">
        <v>614</v>
      </c>
      <c r="E73" s="61"/>
      <c r="F73" s="57">
        <v>0</v>
      </c>
      <c r="G73" s="58">
        <v>0</v>
      </c>
      <c r="H73" s="59">
        <v>0</v>
      </c>
      <c r="I73" s="68" t="s">
        <v>11</v>
      </c>
      <c r="K73" s="63" t="s">
        <v>492</v>
      </c>
      <c r="L73" s="72" t="s">
        <v>531</v>
      </c>
      <c r="M73" s="69">
        <v>0</v>
      </c>
      <c r="N73" s="100">
        <f ca="1">CalculateInvestment(Assesment!$J$73,K73,L73,$F73:$I73,M73,Assesment!$F$28,E73)</f>
        <v>0</v>
      </c>
      <c r="O73" s="63"/>
    </row>
    <row r="74" spans="3:15" x14ac:dyDescent="0.25">
      <c r="D74" s="12" t="s">
        <v>615</v>
      </c>
      <c r="E74" s="62"/>
      <c r="F74" s="57">
        <v>0</v>
      </c>
      <c r="G74" s="58">
        <v>0</v>
      </c>
      <c r="H74" s="59">
        <v>0</v>
      </c>
      <c r="I74" s="68" t="s">
        <v>11</v>
      </c>
      <c r="K74" s="63" t="s">
        <v>492</v>
      </c>
      <c r="L74" s="72" t="s">
        <v>531</v>
      </c>
      <c r="M74" s="69">
        <v>0</v>
      </c>
      <c r="N74" s="100">
        <f ca="1">CalculateInvestment(Assesment!$J$73,K74,L74,$F74:$I74,M74,Assesment!$F$28,E74)</f>
        <v>0</v>
      </c>
      <c r="O74" s="63"/>
    </row>
    <row r="75" spans="3:15" x14ac:dyDescent="0.25">
      <c r="C75" t="s">
        <v>437</v>
      </c>
      <c r="N75" s="64"/>
    </row>
    <row r="76" spans="3:15" x14ac:dyDescent="0.25">
      <c r="D76" s="12" t="s">
        <v>583</v>
      </c>
      <c r="E76" s="62"/>
      <c r="F76" s="57">
        <v>0</v>
      </c>
      <c r="G76" s="58">
        <v>0</v>
      </c>
      <c r="H76" s="59">
        <v>0</v>
      </c>
      <c r="I76" s="68" t="s">
        <v>11</v>
      </c>
      <c r="K76" s="63" t="s">
        <v>492</v>
      </c>
      <c r="L76" s="72" t="s">
        <v>531</v>
      </c>
      <c r="M76" s="69">
        <v>0</v>
      </c>
      <c r="N76" s="100">
        <f ca="1">CalculateInvestment(Assesment!$J$73,K76,L76,$F76:$I76,M76,Assesment!$F$28,E76)</f>
        <v>0</v>
      </c>
      <c r="O76" s="63"/>
    </row>
    <row r="77" spans="3:15" x14ac:dyDescent="0.25">
      <c r="D77" s="12" t="s">
        <v>616</v>
      </c>
      <c r="E77" s="62"/>
      <c r="F77" s="57">
        <v>0</v>
      </c>
      <c r="G77" s="58">
        <v>0</v>
      </c>
      <c r="H77" s="59">
        <v>0</v>
      </c>
      <c r="I77" s="68" t="s">
        <v>11</v>
      </c>
      <c r="K77" s="63" t="s">
        <v>492</v>
      </c>
      <c r="L77" s="72" t="s">
        <v>531</v>
      </c>
      <c r="M77" s="69">
        <v>0</v>
      </c>
      <c r="N77" s="100">
        <f ca="1">CalculateInvestment(Assesment!$J$73,K77,L77,$F77:$I77,M77,Assesment!$F$28,E77)</f>
        <v>0</v>
      </c>
      <c r="O77" s="63"/>
    </row>
    <row r="78" spans="3:15" x14ac:dyDescent="0.25">
      <c r="D78" s="12" t="s">
        <v>584</v>
      </c>
      <c r="E78" s="62"/>
      <c r="F78" s="57">
        <v>0</v>
      </c>
      <c r="G78" s="58">
        <v>0</v>
      </c>
      <c r="H78" s="59">
        <v>0</v>
      </c>
      <c r="I78" s="68" t="s">
        <v>11</v>
      </c>
      <c r="K78" s="63" t="s">
        <v>492</v>
      </c>
      <c r="L78" s="72" t="s">
        <v>531</v>
      </c>
      <c r="M78" s="69">
        <v>0</v>
      </c>
      <c r="N78" s="100">
        <f ca="1">CalculateInvestment(Assesment!$J$73,K78,L78,$F78:$I78,M78,Assesment!$F$28,E78)</f>
        <v>0</v>
      </c>
      <c r="O78" s="63"/>
    </row>
    <row r="79" spans="3:15" x14ac:dyDescent="0.25">
      <c r="D79" s="12" t="s">
        <v>585</v>
      </c>
      <c r="E79" s="62"/>
      <c r="F79" s="57">
        <v>0</v>
      </c>
      <c r="G79" s="58">
        <v>0</v>
      </c>
      <c r="H79" s="59">
        <v>0</v>
      </c>
      <c r="I79" s="68" t="s">
        <v>11</v>
      </c>
      <c r="K79" s="63" t="s">
        <v>492</v>
      </c>
      <c r="L79" s="72" t="s">
        <v>531</v>
      </c>
      <c r="M79" s="69">
        <v>0</v>
      </c>
      <c r="N79" s="100">
        <f ca="1">CalculateInvestment(Assesment!$J$73,K79,L79,$F79:$I79,M79,Assesment!$F$28,E79)</f>
        <v>0</v>
      </c>
      <c r="O79" s="63"/>
    </row>
    <row r="80" spans="3:15" x14ac:dyDescent="0.25">
      <c r="D80" s="12" t="s">
        <v>10</v>
      </c>
      <c r="E80" s="61"/>
      <c r="F80" s="57">
        <v>3500</v>
      </c>
      <c r="G80" s="58">
        <v>2500</v>
      </c>
      <c r="H80" s="59">
        <v>1500</v>
      </c>
      <c r="K80" s="63" t="s">
        <v>492</v>
      </c>
      <c r="L80" s="72" t="s">
        <v>531</v>
      </c>
      <c r="M80" s="69">
        <v>0</v>
      </c>
      <c r="N80" s="100">
        <f ca="1">CalculateInvestment(Assesment!$J$73,K80,L80,$F80:$I80,M80,Assesment!$F$28,E80)</f>
        <v>0</v>
      </c>
      <c r="O80" s="63"/>
    </row>
    <row r="81" spans="3:15" x14ac:dyDescent="0.25">
      <c r="C81" t="s">
        <v>439</v>
      </c>
      <c r="N81" s="64"/>
    </row>
    <row r="82" spans="3:15" x14ac:dyDescent="0.25">
      <c r="D82" s="12" t="s">
        <v>414</v>
      </c>
      <c r="E82" s="93" t="s">
        <v>568</v>
      </c>
      <c r="F82" s="57">
        <v>4000</v>
      </c>
      <c r="G82" s="58">
        <v>2500</v>
      </c>
      <c r="H82" s="59">
        <v>1500</v>
      </c>
      <c r="I82" s="68" t="s">
        <v>11</v>
      </c>
      <c r="K82" s="63" t="s">
        <v>492</v>
      </c>
      <c r="L82" s="72" t="s">
        <v>531</v>
      </c>
      <c r="M82" s="69">
        <v>0</v>
      </c>
      <c r="N82" s="100">
        <f ca="1">CalculateInvestment(Assesment!$J$73,K82,L82,$F82:$I82,M82,Assesment!$F$28,E82)</f>
        <v>0</v>
      </c>
      <c r="O82" s="63"/>
    </row>
    <row r="83" spans="3:15" x14ac:dyDescent="0.25">
      <c r="D83" s="12" t="s">
        <v>440</v>
      </c>
      <c r="E83" s="61"/>
      <c r="F83" s="57">
        <v>1500</v>
      </c>
      <c r="G83" s="58">
        <v>1000</v>
      </c>
      <c r="H83" s="59">
        <v>500</v>
      </c>
      <c r="I83" s="68" t="s">
        <v>11</v>
      </c>
      <c r="K83" s="63" t="s">
        <v>492</v>
      </c>
      <c r="L83" s="72" t="s">
        <v>531</v>
      </c>
      <c r="M83" s="69">
        <v>0</v>
      </c>
      <c r="N83" s="100">
        <f ca="1">CalculateInvestment(Assesment!$J$73,K83,L83,$F83:$I83,M83,Assesment!$F$28,E83)</f>
        <v>0</v>
      </c>
      <c r="O83" s="63"/>
    </row>
    <row r="84" spans="3:15" x14ac:dyDescent="0.25">
      <c r="C84" t="s">
        <v>441</v>
      </c>
      <c r="N84" s="64"/>
    </row>
    <row r="85" spans="3:15" x14ac:dyDescent="0.25">
      <c r="D85" s="12" t="s">
        <v>410</v>
      </c>
      <c r="E85" s="93" t="s">
        <v>568</v>
      </c>
      <c r="F85" s="57">
        <v>3000</v>
      </c>
      <c r="G85" s="58">
        <v>2000</v>
      </c>
      <c r="H85" s="59">
        <v>1000</v>
      </c>
      <c r="I85" s="68" t="s">
        <v>11</v>
      </c>
      <c r="K85" s="63" t="s">
        <v>492</v>
      </c>
      <c r="L85" s="72" t="s">
        <v>531</v>
      </c>
      <c r="M85" s="69">
        <v>0</v>
      </c>
      <c r="N85" s="100">
        <f ca="1">CalculateInvestment(Assesment!$J$73,K85,L85,$F85:$I85,M85,Assesment!$F$28,E85)</f>
        <v>0</v>
      </c>
      <c r="O85" s="63"/>
    </row>
    <row r="86" spans="3:15" x14ac:dyDescent="0.25">
      <c r="D86" s="12" t="s">
        <v>411</v>
      </c>
      <c r="E86" s="61"/>
      <c r="F86" s="57">
        <v>1000</v>
      </c>
      <c r="G86" s="58">
        <v>750</v>
      </c>
      <c r="H86" s="59">
        <v>400</v>
      </c>
      <c r="I86" s="68" t="s">
        <v>11</v>
      </c>
      <c r="K86" s="63" t="s">
        <v>492</v>
      </c>
      <c r="L86" s="72" t="s">
        <v>531</v>
      </c>
      <c r="M86" s="69">
        <v>0</v>
      </c>
      <c r="N86" s="100">
        <f ca="1">CalculateInvestment(Assesment!$J$73,K86,L86,$F86:$I86,M86,Assesment!$F$28,E86)</f>
        <v>0</v>
      </c>
      <c r="O86" s="63"/>
    </row>
    <row r="87" spans="3:15" x14ac:dyDescent="0.25">
      <c r="D87" s="12" t="s">
        <v>442</v>
      </c>
      <c r="E87" s="61"/>
      <c r="F87" s="57">
        <v>700</v>
      </c>
      <c r="G87" s="58">
        <v>400</v>
      </c>
      <c r="H87" s="59">
        <v>200</v>
      </c>
      <c r="I87" s="68" t="s">
        <v>11</v>
      </c>
      <c r="K87" s="63" t="s">
        <v>492</v>
      </c>
      <c r="L87" s="72" t="s">
        <v>531</v>
      </c>
      <c r="M87" s="69">
        <v>0</v>
      </c>
      <c r="N87" s="100">
        <f ca="1">CalculateInvestment(Assesment!$J$73,K87,L87,$F87:$I87,M87,Assesment!$F$28,E87)</f>
        <v>0</v>
      </c>
      <c r="O87" s="63"/>
    </row>
    <row r="88" spans="3:15" x14ac:dyDescent="0.25">
      <c r="D88" s="12" t="s">
        <v>443</v>
      </c>
      <c r="E88" s="61"/>
      <c r="F88" s="57">
        <v>3000</v>
      </c>
      <c r="G88" s="58">
        <v>2000</v>
      </c>
      <c r="H88" s="59">
        <v>1500</v>
      </c>
      <c r="K88" s="63" t="s">
        <v>492</v>
      </c>
      <c r="L88" s="72" t="s">
        <v>531</v>
      </c>
      <c r="M88" s="69">
        <v>0</v>
      </c>
      <c r="N88" s="100">
        <f ca="1">CalculateInvestment(Assesment!$J$73,K88,L88,$F88:$I88,M88,Assesment!$F$28,E88)</f>
        <v>0</v>
      </c>
      <c r="O88" s="63"/>
    </row>
    <row r="89" spans="3:15" x14ac:dyDescent="0.25">
      <c r="D89" s="12" t="s">
        <v>673</v>
      </c>
      <c r="E89" s="61"/>
      <c r="F89" s="57">
        <v>400</v>
      </c>
      <c r="G89" s="58">
        <v>275</v>
      </c>
      <c r="H89" s="59">
        <v>200</v>
      </c>
      <c r="K89" s="63" t="s">
        <v>493</v>
      </c>
      <c r="L89" s="72" t="s">
        <v>531</v>
      </c>
      <c r="M89" s="69">
        <v>0</v>
      </c>
      <c r="N89" s="100">
        <f ca="1">CalculateInvestment(Assesment!$J$73,K89,L89,$F89:$I89,M89,Assesment!$F$28,E89)</f>
        <v>0</v>
      </c>
      <c r="O89" s="63"/>
    </row>
    <row r="90" spans="3:15" x14ac:dyDescent="0.25">
      <c r="C90" t="s">
        <v>444</v>
      </c>
      <c r="N90" s="64"/>
    </row>
    <row r="91" spans="3:15" x14ac:dyDescent="0.25">
      <c r="D91" s="12" t="s">
        <v>412</v>
      </c>
      <c r="E91" s="93" t="s">
        <v>568</v>
      </c>
      <c r="F91" s="57">
        <v>1500</v>
      </c>
      <c r="G91" s="58">
        <v>1000</v>
      </c>
      <c r="H91" s="59">
        <v>500</v>
      </c>
      <c r="I91" s="68" t="s">
        <v>11</v>
      </c>
      <c r="K91" s="63" t="s">
        <v>492</v>
      </c>
      <c r="L91" s="72" t="s">
        <v>531</v>
      </c>
      <c r="M91" s="69">
        <v>0</v>
      </c>
      <c r="N91" s="100">
        <f ca="1">CalculateInvestment(Assesment!$J$73,K91,L91,$F91:$I91,M91,Assesment!$F$28,E91)</f>
        <v>0</v>
      </c>
      <c r="O91" s="63"/>
    </row>
    <row r="92" spans="3:15" x14ac:dyDescent="0.25">
      <c r="D92" s="12" t="s">
        <v>413</v>
      </c>
      <c r="E92" s="61"/>
      <c r="F92" s="57">
        <v>2500</v>
      </c>
      <c r="G92" s="58">
        <v>1250</v>
      </c>
      <c r="H92" s="59">
        <v>800</v>
      </c>
      <c r="I92" s="68" t="s">
        <v>11</v>
      </c>
      <c r="K92" s="63" t="s">
        <v>492</v>
      </c>
      <c r="L92" s="72" t="s">
        <v>531</v>
      </c>
      <c r="M92" s="69">
        <v>0</v>
      </c>
      <c r="N92" s="100">
        <f ca="1">CalculateInvestment(Assesment!$J$73,K92,L92,$F92:$I92,M92,Assesment!$F$28,E92)</f>
        <v>0</v>
      </c>
      <c r="O92" s="63"/>
    </row>
    <row r="93" spans="3:15" x14ac:dyDescent="0.25">
      <c r="D93" s="12" t="s">
        <v>617</v>
      </c>
      <c r="E93" s="61"/>
      <c r="F93" s="57">
        <v>2000</v>
      </c>
      <c r="G93" s="58">
        <v>1000</v>
      </c>
      <c r="H93" s="59">
        <v>700</v>
      </c>
      <c r="K93" s="63" t="s">
        <v>492</v>
      </c>
      <c r="L93" s="72" t="s">
        <v>531</v>
      </c>
      <c r="M93" s="69">
        <v>0</v>
      </c>
      <c r="N93" s="100">
        <f ca="1">CalculateInvestment(Assesment!$J$73,K93,L93,$F93:$I93,M93,Assesment!$F$28,E93)</f>
        <v>0</v>
      </c>
      <c r="O93" s="63"/>
    </row>
    <row r="94" spans="3:15" x14ac:dyDescent="0.25">
      <c r="C94" t="s">
        <v>1</v>
      </c>
      <c r="N94" s="64"/>
    </row>
    <row r="95" spans="3:15" x14ac:dyDescent="0.25">
      <c r="D95" s="12" t="s">
        <v>672</v>
      </c>
      <c r="E95" s="61"/>
      <c r="F95" s="57">
        <v>700</v>
      </c>
      <c r="G95" s="58">
        <v>400</v>
      </c>
      <c r="H95" s="59">
        <v>200</v>
      </c>
      <c r="I95" s="68" t="s">
        <v>11</v>
      </c>
      <c r="K95" s="63" t="s">
        <v>492</v>
      </c>
      <c r="L95" s="72" t="s">
        <v>531</v>
      </c>
      <c r="M95" s="69">
        <v>0</v>
      </c>
      <c r="N95" s="100">
        <f ca="1">CalculateInvestment(Assesment!$J$73,K95,L95,$F95:$I95,M95,Assesment!$F$28,E95)</f>
        <v>0</v>
      </c>
      <c r="O95" s="63"/>
    </row>
    <row r="96" spans="3:15" x14ac:dyDescent="0.25">
      <c r="D96" s="12" t="s">
        <v>618</v>
      </c>
      <c r="E96" s="61"/>
      <c r="F96" s="57">
        <v>1500</v>
      </c>
      <c r="G96" s="58">
        <v>1200</v>
      </c>
      <c r="H96" s="59">
        <v>800</v>
      </c>
      <c r="I96" s="68" t="s">
        <v>11</v>
      </c>
      <c r="K96" s="63" t="s">
        <v>492</v>
      </c>
      <c r="L96" s="72" t="s">
        <v>531</v>
      </c>
      <c r="M96" s="69">
        <v>0</v>
      </c>
      <c r="N96" s="100">
        <f ca="1">CalculateInvestment(Assesment!$J$73,K96,L96,$F96:$I96,M96,Assesment!$F$28,E96)</f>
        <v>0</v>
      </c>
      <c r="O96" s="63"/>
    </row>
    <row r="97" spans="3:15" x14ac:dyDescent="0.25">
      <c r="D97" s="12" t="s">
        <v>619</v>
      </c>
      <c r="E97" s="61"/>
      <c r="F97" s="57">
        <v>2000</v>
      </c>
      <c r="G97" s="58">
        <v>1200</v>
      </c>
      <c r="H97" s="59">
        <v>700</v>
      </c>
      <c r="I97" s="68" t="s">
        <v>11</v>
      </c>
      <c r="K97" s="63" t="s">
        <v>492</v>
      </c>
      <c r="L97" s="72" t="s">
        <v>531</v>
      </c>
      <c r="M97" s="69">
        <v>0</v>
      </c>
      <c r="N97" s="100">
        <f ca="1">CalculateInvestment(Assesment!$J$73,K97,L97,$F97:$I97,M97,Assesment!$F$28,E97)</f>
        <v>0</v>
      </c>
      <c r="O97" s="63"/>
    </row>
    <row r="98" spans="3:15" x14ac:dyDescent="0.25">
      <c r="D98" s="12" t="s">
        <v>454</v>
      </c>
      <c r="E98" s="61"/>
      <c r="F98" s="57">
        <v>6000</v>
      </c>
      <c r="G98" s="58">
        <v>4000</v>
      </c>
      <c r="H98" s="59">
        <v>2500</v>
      </c>
      <c r="I98" s="68" t="s">
        <v>11</v>
      </c>
      <c r="K98" s="63" t="s">
        <v>492</v>
      </c>
      <c r="L98" s="72" t="s">
        <v>531</v>
      </c>
      <c r="M98" s="69">
        <v>0</v>
      </c>
      <c r="N98" s="100">
        <f ca="1">CalculateInvestment(Assesment!$J$73,K98,L98,$F98:$I98,M98,Assesment!$F$28,E98)</f>
        <v>0</v>
      </c>
      <c r="O98" s="63"/>
    </row>
    <row r="99" spans="3:15" x14ac:dyDescent="0.25">
      <c r="D99" s="12" t="s">
        <v>682</v>
      </c>
      <c r="E99" s="61"/>
      <c r="F99" s="57">
        <v>2500</v>
      </c>
      <c r="G99" s="58">
        <v>1500</v>
      </c>
      <c r="H99" s="59">
        <v>1200</v>
      </c>
      <c r="I99" s="68" t="s">
        <v>11</v>
      </c>
      <c r="K99" s="63" t="s">
        <v>492</v>
      </c>
      <c r="L99" s="72" t="s">
        <v>531</v>
      </c>
      <c r="M99" s="69">
        <v>0</v>
      </c>
      <c r="N99" s="100">
        <f ca="1">CalculateInvestment(Assesment!$J$73,K99,L99,$F99:$I99,M99,Assesment!$F$28,E99)</f>
        <v>0</v>
      </c>
      <c r="O99" s="63"/>
    </row>
    <row r="100" spans="3:15" x14ac:dyDescent="0.25">
      <c r="D100" s="12" t="s">
        <v>683</v>
      </c>
      <c r="E100" s="61"/>
      <c r="F100" s="57">
        <v>2500</v>
      </c>
      <c r="G100" s="58">
        <v>1500</v>
      </c>
      <c r="H100" s="59">
        <v>1200</v>
      </c>
      <c r="K100" s="63" t="s">
        <v>492</v>
      </c>
      <c r="L100" s="72" t="s">
        <v>531</v>
      </c>
      <c r="M100" s="69">
        <v>0</v>
      </c>
      <c r="N100" s="100">
        <f ca="1">CalculateInvestment(Assesment!$J$73,K100,L100,$F100:$I100,M100,Assesment!$F$28,E100)</f>
        <v>0</v>
      </c>
      <c r="O100" s="63"/>
    </row>
    <row r="101" spans="3:15" x14ac:dyDescent="0.25">
      <c r="D101" s="12" t="s">
        <v>456</v>
      </c>
      <c r="E101" s="61"/>
      <c r="F101" s="57">
        <v>4500</v>
      </c>
      <c r="G101" s="58">
        <v>3000</v>
      </c>
      <c r="H101" s="59">
        <v>2500</v>
      </c>
      <c r="K101" s="63" t="s">
        <v>493</v>
      </c>
      <c r="L101" s="72" t="s">
        <v>531</v>
      </c>
      <c r="M101" s="69">
        <v>0</v>
      </c>
      <c r="N101" s="100">
        <f ca="1">CalculateInvestment(Assesment!$J$73,K101,L101,$F101:$I101,M101,Assesment!$F$28,E101)</f>
        <v>0</v>
      </c>
      <c r="O101" s="63" t="s">
        <v>668</v>
      </c>
    </row>
    <row r="102" spans="3:15" x14ac:dyDescent="0.25">
      <c r="D102" s="12" t="s">
        <v>457</v>
      </c>
      <c r="E102" s="61"/>
      <c r="F102" s="57">
        <v>1000</v>
      </c>
      <c r="G102" s="58">
        <v>800</v>
      </c>
      <c r="H102" s="59">
        <v>400</v>
      </c>
      <c r="I102" s="68" t="s">
        <v>11</v>
      </c>
      <c r="K102" s="63" t="s">
        <v>492</v>
      </c>
      <c r="L102" s="72" t="s">
        <v>531</v>
      </c>
      <c r="M102" s="69">
        <v>0</v>
      </c>
      <c r="N102" s="100">
        <f ca="1">CalculateInvestment(Assesment!$J$73,K102,L102,$F102:$I102,M102,Assesment!$F$28,E102)</f>
        <v>0</v>
      </c>
      <c r="O102" s="63"/>
    </row>
    <row r="103" spans="3:15" x14ac:dyDescent="0.25">
      <c r="C103" t="s">
        <v>670</v>
      </c>
      <c r="N103" s="64"/>
    </row>
    <row r="104" spans="3:15" x14ac:dyDescent="0.25">
      <c r="D104" s="12" t="s">
        <v>455</v>
      </c>
      <c r="E104" s="61"/>
      <c r="F104" s="57">
        <v>800</v>
      </c>
      <c r="G104" s="58">
        <v>600</v>
      </c>
      <c r="H104" s="59">
        <v>400</v>
      </c>
      <c r="I104" s="68" t="s">
        <v>11</v>
      </c>
      <c r="K104" s="63" t="s">
        <v>493</v>
      </c>
      <c r="L104" s="72" t="s">
        <v>531</v>
      </c>
      <c r="M104" s="69">
        <v>0</v>
      </c>
      <c r="N104" s="100">
        <f ca="1">CalculateInvestment(Assesment!$J$73,K104,L104,$F104:$I104,M104,Assesment!$F$28,E104)</f>
        <v>0</v>
      </c>
      <c r="O104" s="63"/>
    </row>
    <row r="105" spans="3:15" x14ac:dyDescent="0.25">
      <c r="D105" s="12" t="s">
        <v>671</v>
      </c>
      <c r="E105" s="61"/>
      <c r="F105" s="57">
        <v>250</v>
      </c>
      <c r="G105" s="58">
        <v>150</v>
      </c>
      <c r="H105" s="59">
        <v>100</v>
      </c>
      <c r="I105" s="68" t="s">
        <v>11</v>
      </c>
      <c r="K105" s="63" t="s">
        <v>493</v>
      </c>
      <c r="L105" s="72" t="s">
        <v>531</v>
      </c>
      <c r="M105" s="69">
        <v>0</v>
      </c>
      <c r="N105" s="100">
        <f ca="1">CalculateInvestment(Assesment!$J$73,K105,L105,$F105:$I105,M105,Assesment!$F$28,E105)</f>
        <v>0</v>
      </c>
      <c r="O105" s="63"/>
    </row>
    <row r="106" spans="3:15" x14ac:dyDescent="0.25">
      <c r="D106" s="12" t="s">
        <v>669</v>
      </c>
      <c r="E106" s="61"/>
      <c r="F106" s="57">
        <v>3500</v>
      </c>
      <c r="G106" s="58">
        <v>2000</v>
      </c>
      <c r="H106" s="59">
        <v>1000</v>
      </c>
      <c r="K106" s="63" t="s">
        <v>493</v>
      </c>
      <c r="L106" s="72" t="s">
        <v>531</v>
      </c>
      <c r="M106" s="69">
        <v>0</v>
      </c>
      <c r="N106" s="100">
        <f ca="1">CalculateInvestment(Assesment!$J$73,K106,L106,$F106:$I106,M106,Assesment!$F$28,E106)</f>
        <v>0</v>
      </c>
      <c r="O106" s="63"/>
    </row>
    <row r="107" spans="3:15" x14ac:dyDescent="0.25">
      <c r="C107" t="s">
        <v>461</v>
      </c>
      <c r="N107" s="64"/>
    </row>
    <row r="108" spans="3:15" x14ac:dyDescent="0.25">
      <c r="D108" s="12" t="s">
        <v>459</v>
      </c>
      <c r="E108" s="61"/>
      <c r="F108" s="57">
        <v>7000</v>
      </c>
      <c r="G108" s="58">
        <v>3000</v>
      </c>
      <c r="H108" s="59">
        <v>2000</v>
      </c>
      <c r="K108" s="63" t="s">
        <v>492</v>
      </c>
      <c r="L108" s="72" t="s">
        <v>531</v>
      </c>
      <c r="M108" s="69">
        <v>0</v>
      </c>
      <c r="N108" s="100">
        <f ca="1">CalculateInvestment(Assesment!$J$73,K108,L108,$F108:$I108,M108,Assesment!$F$28,E108)</f>
        <v>0</v>
      </c>
      <c r="O108" s="63"/>
    </row>
    <row r="109" spans="3:15" x14ac:dyDescent="0.25">
      <c r="D109" s="12" t="s">
        <v>460</v>
      </c>
      <c r="E109" s="61"/>
      <c r="F109" s="57">
        <v>3000</v>
      </c>
      <c r="G109" s="58">
        <v>2000</v>
      </c>
      <c r="H109" s="59">
        <v>1200</v>
      </c>
      <c r="K109" s="63" t="s">
        <v>492</v>
      </c>
      <c r="L109" s="72" t="s">
        <v>531</v>
      </c>
      <c r="M109" s="69">
        <v>0</v>
      </c>
      <c r="N109" s="100">
        <f ca="1">CalculateInvestment(Assesment!$J$73,K109,L109,$F109:$I109,M109,Assesment!$F$28,E109)</f>
        <v>0</v>
      </c>
      <c r="O109" s="63"/>
    </row>
    <row r="110" spans="3:15" x14ac:dyDescent="0.25">
      <c r="D110" s="12" t="s">
        <v>462</v>
      </c>
      <c r="E110" s="61"/>
      <c r="F110" s="57">
        <v>1200</v>
      </c>
      <c r="G110" s="58">
        <v>1000</v>
      </c>
      <c r="H110" s="59">
        <v>500</v>
      </c>
      <c r="I110" s="68" t="s">
        <v>11</v>
      </c>
      <c r="K110" s="63" t="s">
        <v>493</v>
      </c>
      <c r="L110" s="72" t="s">
        <v>531</v>
      </c>
      <c r="M110" s="69">
        <v>0</v>
      </c>
      <c r="N110" s="100">
        <f ca="1">CalculateInvestment(Assesment!$J$73,K110,L110,$F110:$I110,M110,Assesment!$F$28,E110)</f>
        <v>0</v>
      </c>
      <c r="O110" s="63"/>
    </row>
    <row r="111" spans="3:15" x14ac:dyDescent="0.25">
      <c r="D111" s="12" t="s">
        <v>7</v>
      </c>
      <c r="E111" s="61"/>
      <c r="F111" s="57">
        <v>400</v>
      </c>
      <c r="G111" s="58">
        <v>250</v>
      </c>
      <c r="H111" s="59">
        <v>150</v>
      </c>
      <c r="I111" s="68" t="s">
        <v>11</v>
      </c>
      <c r="K111" s="63" t="s">
        <v>493</v>
      </c>
      <c r="L111" s="72" t="s">
        <v>531</v>
      </c>
      <c r="M111" s="69">
        <v>0</v>
      </c>
      <c r="N111" s="100">
        <f ca="1">CalculateInvestment(Assesment!$J$73,K111,L111,$F111:$I111,M111,Assesment!$F$28,E111)</f>
        <v>0</v>
      </c>
      <c r="O111" s="63"/>
    </row>
    <row r="112" spans="3:15" x14ac:dyDescent="0.25">
      <c r="N112" s="64"/>
    </row>
    <row r="113" spans="2:15" x14ac:dyDescent="0.25">
      <c r="B113" t="s">
        <v>445</v>
      </c>
      <c r="N113" s="64"/>
    </row>
    <row r="114" spans="2:15" x14ac:dyDescent="0.25">
      <c r="C114" t="s">
        <v>452</v>
      </c>
      <c r="N114" s="64"/>
    </row>
    <row r="115" spans="2:15" x14ac:dyDescent="0.25">
      <c r="D115" s="12" t="s">
        <v>446</v>
      </c>
      <c r="E115" s="93" t="s">
        <v>568</v>
      </c>
      <c r="F115" s="57">
        <v>0</v>
      </c>
      <c r="G115" s="58">
        <v>0</v>
      </c>
      <c r="H115" s="59">
        <v>0</v>
      </c>
      <c r="I115" s="68" t="s">
        <v>11</v>
      </c>
      <c r="K115" s="63" t="s">
        <v>493</v>
      </c>
      <c r="L115" s="72" t="s">
        <v>531</v>
      </c>
      <c r="M115" s="69">
        <v>0</v>
      </c>
      <c r="N115" s="100">
        <f ca="1">CalculateInvestment(Assesment!$J$73,K115,L115,$F115:$I115,M115,Assesment!$F$28,E115)</f>
        <v>0</v>
      </c>
      <c r="O115" s="63"/>
    </row>
    <row r="116" spans="2:15" x14ac:dyDescent="0.25">
      <c r="D116" s="12" t="s">
        <v>450</v>
      </c>
      <c r="E116" s="93" t="s">
        <v>568</v>
      </c>
      <c r="F116" s="57">
        <v>5000</v>
      </c>
      <c r="G116" s="58">
        <v>3000</v>
      </c>
      <c r="H116" s="59">
        <v>1500</v>
      </c>
      <c r="I116" s="68" t="s">
        <v>11</v>
      </c>
      <c r="K116" s="63" t="s">
        <v>493</v>
      </c>
      <c r="L116" s="72" t="s">
        <v>531</v>
      </c>
      <c r="M116" s="69">
        <v>0</v>
      </c>
      <c r="N116" s="100">
        <f ca="1">CalculateInvestment(Assesment!$J$73,K116,L116,$F116:$I116,M116,Assesment!$F$28,E116)</f>
        <v>0</v>
      </c>
      <c r="O116" s="63"/>
    </row>
    <row r="117" spans="2:15" x14ac:dyDescent="0.25">
      <c r="D117" s="12" t="s">
        <v>451</v>
      </c>
      <c r="E117" s="93" t="s">
        <v>568</v>
      </c>
      <c r="F117" s="57">
        <v>2000</v>
      </c>
      <c r="G117" s="58">
        <v>1200</v>
      </c>
      <c r="H117" s="59">
        <v>700</v>
      </c>
      <c r="I117" s="68" t="s">
        <v>11</v>
      </c>
      <c r="K117" s="63" t="s">
        <v>493</v>
      </c>
      <c r="L117" s="72" t="s">
        <v>531</v>
      </c>
      <c r="M117" s="69">
        <v>0</v>
      </c>
      <c r="N117" s="100">
        <f ca="1">CalculateInvestment(Assesment!$J$73,K117,L117,$F117:$I117,M117,Assesment!$F$28,E117)</f>
        <v>0</v>
      </c>
      <c r="O117" s="63"/>
    </row>
    <row r="118" spans="2:15" x14ac:dyDescent="0.25">
      <c r="D118" s="12" t="s">
        <v>453</v>
      </c>
      <c r="E118" s="61"/>
      <c r="F118" s="57">
        <v>3000</v>
      </c>
      <c r="G118" s="58">
        <v>1250</v>
      </c>
      <c r="H118" s="59">
        <v>800</v>
      </c>
      <c r="I118" s="68" t="s">
        <v>11</v>
      </c>
      <c r="K118" s="63" t="s">
        <v>493</v>
      </c>
      <c r="L118" s="72" t="s">
        <v>531</v>
      </c>
      <c r="M118" s="69">
        <v>0</v>
      </c>
      <c r="N118" s="100">
        <f ca="1">CalculateInvestment(Assesment!$J$73,K118,L118,$F118:$I118,M118,Assesment!$F$28,E118)</f>
        <v>0</v>
      </c>
      <c r="O118" s="63"/>
    </row>
    <row r="119" spans="2:15" x14ac:dyDescent="0.25">
      <c r="C119" t="s">
        <v>2</v>
      </c>
      <c r="N119" s="64"/>
    </row>
    <row r="120" spans="2:15" x14ac:dyDescent="0.25">
      <c r="D120" s="12" t="s">
        <v>426</v>
      </c>
      <c r="E120" s="61"/>
      <c r="F120" s="57">
        <v>3000</v>
      </c>
      <c r="G120" s="58">
        <v>2000</v>
      </c>
      <c r="H120" s="59">
        <v>1500</v>
      </c>
      <c r="I120" s="68" t="s">
        <v>11</v>
      </c>
      <c r="K120" s="63" t="s">
        <v>492</v>
      </c>
      <c r="L120" s="72" t="s">
        <v>531</v>
      </c>
      <c r="M120" s="69">
        <v>0</v>
      </c>
      <c r="N120" s="100">
        <f ca="1">CalculateInvestment(Assesment!$J$73,K120,L120,$F120:$I120,M120,Assesment!$F$28,E120)</f>
        <v>0</v>
      </c>
      <c r="O120" s="63"/>
    </row>
    <row r="121" spans="2:15" x14ac:dyDescent="0.25">
      <c r="D121" s="12" t="s">
        <v>427</v>
      </c>
      <c r="E121" s="61"/>
      <c r="F121" s="57">
        <v>2200</v>
      </c>
      <c r="G121" s="58">
        <v>1500</v>
      </c>
      <c r="H121" s="59">
        <v>1200</v>
      </c>
      <c r="I121" s="68" t="s">
        <v>11</v>
      </c>
      <c r="K121" s="63" t="s">
        <v>492</v>
      </c>
      <c r="L121" s="72" t="s">
        <v>531</v>
      </c>
      <c r="M121" s="69">
        <v>0</v>
      </c>
      <c r="N121" s="100">
        <f ca="1">CalculateInvestment(Assesment!$J$73,K121,L121,$F121:$I121,M121,Assesment!$F$28,E121)</f>
        <v>0</v>
      </c>
      <c r="O121" s="63"/>
    </row>
    <row r="122" spans="2:15" x14ac:dyDescent="0.25">
      <c r="D122" s="12" t="s">
        <v>3</v>
      </c>
      <c r="E122" s="61"/>
      <c r="F122" s="57">
        <v>4000</v>
      </c>
      <c r="G122" s="58">
        <v>2500</v>
      </c>
      <c r="H122" s="59">
        <v>1500</v>
      </c>
      <c r="I122" s="68" t="s">
        <v>11</v>
      </c>
      <c r="K122" s="63" t="s">
        <v>492</v>
      </c>
      <c r="L122" s="72" t="s">
        <v>531</v>
      </c>
      <c r="M122" s="69">
        <v>0</v>
      </c>
      <c r="N122" s="100">
        <f ca="1">CalculateInvestment(Assesment!$J$73,K122,L122,$F122:$I122,M122,Assesment!$F$28,E122)</f>
        <v>0</v>
      </c>
      <c r="O122" s="63"/>
    </row>
    <row r="123" spans="2:15" x14ac:dyDescent="0.25">
      <c r="D123" s="12" t="s">
        <v>4</v>
      </c>
      <c r="E123" s="61"/>
      <c r="F123" s="57">
        <v>3000</v>
      </c>
      <c r="G123" s="58">
        <v>2000</v>
      </c>
      <c r="H123" s="59">
        <v>1500</v>
      </c>
      <c r="K123" s="63" t="s">
        <v>492</v>
      </c>
      <c r="L123" s="72" t="s">
        <v>531</v>
      </c>
      <c r="M123" s="69">
        <v>0</v>
      </c>
      <c r="N123" s="100">
        <f ca="1">CalculateInvestment(Assesment!$J$73,K123,L123,$F123:$I123,M123,Assesment!$F$28,E123)</f>
        <v>0</v>
      </c>
      <c r="O123" s="63"/>
    </row>
    <row r="124" spans="2:15" x14ac:dyDescent="0.25">
      <c r="D124" s="12" t="s">
        <v>429</v>
      </c>
      <c r="E124" s="61"/>
      <c r="F124" s="57">
        <v>600</v>
      </c>
      <c r="G124" s="58">
        <v>300</v>
      </c>
      <c r="H124" s="59">
        <v>200</v>
      </c>
      <c r="I124" s="68" t="s">
        <v>11</v>
      </c>
      <c r="K124" s="63" t="s">
        <v>492</v>
      </c>
      <c r="L124" s="72" t="s">
        <v>531</v>
      </c>
      <c r="M124" s="69">
        <v>0</v>
      </c>
      <c r="N124" s="100">
        <f ca="1">CalculateInvestment(Assesment!$J$73,K124,L124,$F124:$I124,M124,Assesment!$F$28,E124)</f>
        <v>0</v>
      </c>
      <c r="O124" s="63"/>
    </row>
    <row r="125" spans="2:15" x14ac:dyDescent="0.25">
      <c r="D125" s="12" t="s">
        <v>428</v>
      </c>
      <c r="E125" s="61"/>
      <c r="F125" s="57">
        <v>0</v>
      </c>
      <c r="G125" s="58">
        <v>0</v>
      </c>
      <c r="H125" s="59">
        <v>0</v>
      </c>
      <c r="I125" s="68" t="s">
        <v>11</v>
      </c>
      <c r="K125" s="63" t="s">
        <v>492</v>
      </c>
      <c r="L125" s="72" t="s">
        <v>531</v>
      </c>
      <c r="M125" s="69">
        <v>0</v>
      </c>
      <c r="N125" s="100">
        <f ca="1">CalculateInvestment(Assesment!$J$73,K125,L125,$F125:$I125,M125,Assesment!$F$28,E125)</f>
        <v>0</v>
      </c>
      <c r="O125" s="63"/>
    </row>
    <row r="126" spans="2:15" x14ac:dyDescent="0.25">
      <c r="D126" s="12" t="s">
        <v>8</v>
      </c>
      <c r="E126" s="61"/>
      <c r="F126" s="57">
        <v>700</v>
      </c>
      <c r="G126" s="58">
        <v>500</v>
      </c>
      <c r="H126" s="59">
        <v>400</v>
      </c>
      <c r="K126" s="63" t="s">
        <v>492</v>
      </c>
      <c r="L126" s="72" t="s">
        <v>531</v>
      </c>
      <c r="M126" s="69">
        <v>0</v>
      </c>
      <c r="N126" s="100">
        <f ca="1">CalculateInvestment(Assesment!$J$73,K126,L126,$F126:$I126,M126,Assesment!$F$28,E126)</f>
        <v>0</v>
      </c>
      <c r="O126" s="63"/>
    </row>
    <row r="127" spans="2:15" x14ac:dyDescent="0.25">
      <c r="C127" t="s">
        <v>458</v>
      </c>
      <c r="N127" s="64"/>
    </row>
    <row r="128" spans="2:15" x14ac:dyDescent="0.25">
      <c r="D128" s="12" t="s">
        <v>624</v>
      </c>
      <c r="E128" s="61"/>
      <c r="F128" s="57">
        <v>2000</v>
      </c>
      <c r="G128" s="58">
        <v>1500</v>
      </c>
      <c r="H128" s="59">
        <v>1000</v>
      </c>
      <c r="I128" s="68" t="s">
        <v>11</v>
      </c>
      <c r="K128" s="63" t="s">
        <v>492</v>
      </c>
      <c r="L128" s="72" t="s">
        <v>531</v>
      </c>
      <c r="M128" s="69">
        <v>0</v>
      </c>
      <c r="N128" s="100">
        <f ca="1">CalculateInvestment(Assesment!$J$73,K128,L128,$F128:$I128,M128,Assesment!$F$28,E128)</f>
        <v>0</v>
      </c>
      <c r="O128" s="63"/>
    </row>
    <row r="129" spans="2:15" x14ac:dyDescent="0.25">
      <c r="D129" s="12" t="s">
        <v>623</v>
      </c>
      <c r="E129" s="61"/>
      <c r="F129" s="57">
        <v>4000</v>
      </c>
      <c r="G129" s="58">
        <v>3000</v>
      </c>
      <c r="H129" s="59">
        <v>2000</v>
      </c>
      <c r="K129" s="63" t="s">
        <v>492</v>
      </c>
      <c r="L129" s="72" t="s">
        <v>531</v>
      </c>
      <c r="M129" s="69">
        <v>0</v>
      </c>
      <c r="N129" s="100">
        <f ca="1">CalculateInvestment(Assesment!$J$73,K129,L129,$F129:$I129,M129,Assesment!$F$28,E129)</f>
        <v>0</v>
      </c>
      <c r="O129" s="63"/>
    </row>
    <row r="130" spans="2:15" x14ac:dyDescent="0.25">
      <c r="D130" s="12" t="s">
        <v>625</v>
      </c>
      <c r="E130" s="61"/>
      <c r="F130" s="57">
        <v>2500</v>
      </c>
      <c r="G130" s="58">
        <v>1500</v>
      </c>
      <c r="H130" s="59">
        <v>1000</v>
      </c>
      <c r="I130" s="68" t="s">
        <v>11</v>
      </c>
      <c r="K130" s="63" t="s">
        <v>492</v>
      </c>
      <c r="L130" s="72" t="s">
        <v>531</v>
      </c>
      <c r="M130" s="69">
        <v>0</v>
      </c>
      <c r="N130" s="100">
        <f ca="1">CalculateInvestment(Assesment!$J$73,K130,L130,$F130:$I130,M130,Assesment!$F$28,E130)</f>
        <v>0</v>
      </c>
      <c r="O130" s="63"/>
    </row>
    <row r="131" spans="2:15" x14ac:dyDescent="0.25">
      <c r="D131" s="12" t="s">
        <v>429</v>
      </c>
      <c r="E131" s="61"/>
      <c r="F131" s="57">
        <v>1200</v>
      </c>
      <c r="G131" s="58">
        <v>700</v>
      </c>
      <c r="H131" s="59">
        <v>400</v>
      </c>
      <c r="I131" s="68" t="s">
        <v>11</v>
      </c>
      <c r="K131" s="63" t="s">
        <v>492</v>
      </c>
      <c r="L131" s="72" t="s">
        <v>531</v>
      </c>
      <c r="M131" s="69">
        <v>0</v>
      </c>
      <c r="N131" s="100">
        <f ca="1">CalculateInvestment(Assesment!$J$73,K131,L131,$F131:$I131,M131,Assesment!$F$28,E131)</f>
        <v>0</v>
      </c>
      <c r="O131" s="63"/>
    </row>
    <row r="132" spans="2:15" x14ac:dyDescent="0.25">
      <c r="N132" s="64"/>
    </row>
    <row r="133" spans="2:15" x14ac:dyDescent="0.25">
      <c r="B133" t="s">
        <v>463</v>
      </c>
      <c r="N133" s="64"/>
    </row>
    <row r="134" spans="2:15" x14ac:dyDescent="0.25">
      <c r="D134" s="12" t="s">
        <v>464</v>
      </c>
      <c r="E134" s="61"/>
      <c r="F134" s="57">
        <v>1000</v>
      </c>
      <c r="G134" s="58">
        <v>600</v>
      </c>
      <c r="H134" s="59">
        <v>400</v>
      </c>
      <c r="I134" s="68" t="s">
        <v>11</v>
      </c>
      <c r="K134" s="63" t="s">
        <v>492</v>
      </c>
      <c r="L134" s="72" t="s">
        <v>531</v>
      </c>
      <c r="M134" s="69">
        <v>0</v>
      </c>
      <c r="N134" s="100">
        <f ca="1">CalculateInvestment(Assesment!$J$73,K134,L134,$F134:$I134,M134,Assesment!$F$28,E134)</f>
        <v>0</v>
      </c>
      <c r="O134" s="63"/>
    </row>
    <row r="135" spans="2:15" x14ac:dyDescent="0.25">
      <c r="D135" s="12" t="s">
        <v>465</v>
      </c>
      <c r="E135" s="61"/>
      <c r="F135" s="57">
        <v>5000</v>
      </c>
      <c r="G135" s="58">
        <v>4000</v>
      </c>
      <c r="H135" s="59">
        <v>2500</v>
      </c>
      <c r="I135" s="68" t="s">
        <v>11</v>
      </c>
      <c r="K135" s="63" t="s">
        <v>493</v>
      </c>
      <c r="L135" s="72" t="s">
        <v>531</v>
      </c>
      <c r="M135" s="69">
        <v>0</v>
      </c>
      <c r="N135" s="100">
        <f ca="1">CalculateInvestment(Assesment!$J$73,K135,L135,$F135:$I135,M135,Assesment!$F$28,E135)</f>
        <v>0</v>
      </c>
      <c r="O135" s="63"/>
    </row>
    <row r="136" spans="2:15" x14ac:dyDescent="0.25">
      <c r="D136" s="12" t="s">
        <v>466</v>
      </c>
      <c r="E136" s="61"/>
      <c r="F136" s="57">
        <v>400</v>
      </c>
      <c r="G136" s="58">
        <v>300</v>
      </c>
      <c r="H136" s="59">
        <v>200</v>
      </c>
      <c r="I136" s="68" t="s">
        <v>11</v>
      </c>
      <c r="K136" s="63" t="s">
        <v>492</v>
      </c>
      <c r="L136" s="72" t="s">
        <v>531</v>
      </c>
      <c r="M136" s="69">
        <v>0</v>
      </c>
      <c r="N136" s="100">
        <f ca="1">CalculateInvestment(Assesment!$J$73,K136,L136,$F136:$I136,M136,Assesment!$F$28,E136)</f>
        <v>0</v>
      </c>
      <c r="O136" s="63"/>
    </row>
    <row r="137" spans="2:15" x14ac:dyDescent="0.25">
      <c r="D137" s="12" t="s">
        <v>467</v>
      </c>
      <c r="E137" s="61"/>
      <c r="F137" s="57">
        <v>1200</v>
      </c>
      <c r="G137" s="58">
        <v>800</v>
      </c>
      <c r="H137" s="59">
        <v>600</v>
      </c>
      <c r="I137" s="68" t="s">
        <v>11</v>
      </c>
      <c r="K137" s="63" t="s">
        <v>492</v>
      </c>
      <c r="L137" s="72" t="s">
        <v>531</v>
      </c>
      <c r="M137" s="69">
        <v>0</v>
      </c>
      <c r="N137" s="100">
        <f ca="1">CalculateInvestment(Assesment!$J$73,K137,L137,$F137:$I137,M137,Assesment!$F$28,E137)</f>
        <v>0</v>
      </c>
      <c r="O137" s="63"/>
    </row>
    <row r="138" spans="2:15" x14ac:dyDescent="0.25">
      <c r="D138" s="12" t="s">
        <v>468</v>
      </c>
      <c r="E138" s="61"/>
      <c r="F138" s="57">
        <v>1000</v>
      </c>
      <c r="G138" s="58">
        <v>700</v>
      </c>
      <c r="H138" s="59">
        <v>500</v>
      </c>
      <c r="I138" s="68" t="s">
        <v>11</v>
      </c>
      <c r="K138" s="63" t="s">
        <v>492</v>
      </c>
      <c r="L138" s="72" t="s">
        <v>531</v>
      </c>
      <c r="M138" s="69">
        <v>0</v>
      </c>
      <c r="N138" s="100">
        <f ca="1">CalculateInvestment(Assesment!$J$73,K138,L138,$F138:$I138,M138,Assesment!$F$28,E138)</f>
        <v>0</v>
      </c>
      <c r="O138" s="63"/>
    </row>
    <row r="139" spans="2:15" x14ac:dyDescent="0.25">
      <c r="D139" s="12" t="s">
        <v>469</v>
      </c>
      <c r="E139" s="61"/>
      <c r="F139" s="57">
        <v>200</v>
      </c>
      <c r="G139" s="58">
        <v>150</v>
      </c>
      <c r="H139" s="59">
        <v>100</v>
      </c>
      <c r="I139" s="68" t="s">
        <v>11</v>
      </c>
      <c r="K139" s="63" t="s">
        <v>492</v>
      </c>
      <c r="L139" s="72" t="s">
        <v>531</v>
      </c>
      <c r="M139" s="69">
        <v>0</v>
      </c>
      <c r="N139" s="100">
        <f ca="1">CalculateInvestment(Assesment!$J$73,K139,L139,$F139:$I139,M139,Assesment!$F$28,E139)</f>
        <v>0</v>
      </c>
      <c r="O139" s="63"/>
    </row>
    <row r="140" spans="2:15" x14ac:dyDescent="0.25">
      <c r="D140" s="12" t="s">
        <v>500</v>
      </c>
      <c r="E140" s="61"/>
      <c r="F140" s="57">
        <v>500</v>
      </c>
      <c r="G140" s="58">
        <v>300</v>
      </c>
      <c r="H140" s="59">
        <v>200</v>
      </c>
      <c r="I140" s="68" t="s">
        <v>11</v>
      </c>
      <c r="K140" s="63" t="s">
        <v>492</v>
      </c>
      <c r="L140" s="72" t="s">
        <v>531</v>
      </c>
      <c r="M140" s="69">
        <v>0</v>
      </c>
      <c r="N140" s="100">
        <f ca="1">CalculateInvestment(Assesment!$J$73,K140,L140,$F140:$I140,M140,Assesment!$F$28,E140)</f>
        <v>0</v>
      </c>
      <c r="O140" s="63"/>
    </row>
    <row r="141" spans="2:15" x14ac:dyDescent="0.25">
      <c r="D141" s="12" t="s">
        <v>501</v>
      </c>
      <c r="E141" s="61"/>
      <c r="F141" s="57">
        <v>500</v>
      </c>
      <c r="G141" s="58">
        <v>300</v>
      </c>
      <c r="H141" s="59">
        <v>200</v>
      </c>
      <c r="I141" s="68" t="s">
        <v>11</v>
      </c>
      <c r="K141" s="63" t="s">
        <v>492</v>
      </c>
      <c r="L141" s="72" t="s">
        <v>531</v>
      </c>
      <c r="M141" s="69">
        <v>0</v>
      </c>
      <c r="N141" s="100">
        <f ca="1">CalculateInvestment(Assesment!$J$73,K141,L141,$F141:$I141,M141,Assesment!$F$28,E141)</f>
        <v>0</v>
      </c>
      <c r="O141" s="63"/>
    </row>
    <row r="142" spans="2:15" x14ac:dyDescent="0.25">
      <c r="D142" s="12" t="s">
        <v>502</v>
      </c>
      <c r="E142" s="61"/>
      <c r="F142" s="57">
        <v>300</v>
      </c>
      <c r="G142" s="58">
        <v>200</v>
      </c>
      <c r="H142" s="59">
        <v>150</v>
      </c>
      <c r="I142" s="68" t="s">
        <v>11</v>
      </c>
      <c r="K142" s="63" t="s">
        <v>492</v>
      </c>
      <c r="L142" s="72" t="s">
        <v>531</v>
      </c>
      <c r="M142" s="69">
        <v>0</v>
      </c>
      <c r="N142" s="100">
        <f ca="1">CalculateInvestment(Assesment!$J$73,K142,L142,$F142:$I142,M142,Assesment!$F$28,E142)</f>
        <v>0</v>
      </c>
      <c r="O142" s="63"/>
    </row>
    <row r="143" spans="2:15" x14ac:dyDescent="0.25">
      <c r="D143" s="12" t="s">
        <v>503</v>
      </c>
      <c r="E143" s="61"/>
      <c r="F143" s="57">
        <v>250</v>
      </c>
      <c r="G143" s="58">
        <v>200</v>
      </c>
      <c r="H143" s="59">
        <v>150</v>
      </c>
      <c r="K143" s="63" t="s">
        <v>674</v>
      </c>
      <c r="L143" s="72" t="s">
        <v>531</v>
      </c>
      <c r="M143" s="69">
        <v>0</v>
      </c>
      <c r="N143" s="100">
        <f ca="1">CalculateInvestment(Assesment!$J$73,K143,L143,$F143:$I143,M143,Assesment!$F$28,E143)</f>
        <v>0</v>
      </c>
      <c r="O143" s="63"/>
    </row>
    <row r="144" spans="2:15" x14ac:dyDescent="0.25">
      <c r="D144" s="12" t="s">
        <v>504</v>
      </c>
      <c r="E144" s="61"/>
      <c r="F144" s="57">
        <v>1500</v>
      </c>
      <c r="G144" s="58">
        <v>1000</v>
      </c>
      <c r="H144" s="59">
        <v>800</v>
      </c>
      <c r="K144" s="63" t="s">
        <v>492</v>
      </c>
      <c r="L144" s="72" t="s">
        <v>531</v>
      </c>
      <c r="M144" s="69">
        <v>0</v>
      </c>
      <c r="N144" s="100">
        <f ca="1">CalculateInvestment(Assesment!$J$73,K144,L144,$F144:$I144,M144,Assesment!$F$28,E144)</f>
        <v>0</v>
      </c>
      <c r="O144" s="63"/>
    </row>
    <row r="145" spans="2:15" x14ac:dyDescent="0.25">
      <c r="D145" s="12" t="s">
        <v>505</v>
      </c>
      <c r="E145" s="61"/>
      <c r="F145" s="57">
        <v>400</v>
      </c>
      <c r="G145" s="58">
        <v>250</v>
      </c>
      <c r="H145" s="59">
        <v>200</v>
      </c>
      <c r="I145" s="68" t="s">
        <v>11</v>
      </c>
      <c r="K145" s="63" t="s">
        <v>492</v>
      </c>
      <c r="L145" s="72" t="s">
        <v>531</v>
      </c>
      <c r="M145" s="69">
        <v>0</v>
      </c>
      <c r="N145" s="100">
        <f ca="1">CalculateInvestment(Assesment!$J$73,K145,L145,$F145:$I145,M145,Assesment!$F$28,E145)</f>
        <v>0</v>
      </c>
      <c r="O145" s="63"/>
    </row>
    <row r="146" spans="2:15" x14ac:dyDescent="0.25">
      <c r="N146" s="64"/>
    </row>
    <row r="147" spans="2:15" x14ac:dyDescent="0.25">
      <c r="B147" t="s">
        <v>470</v>
      </c>
      <c r="N147" s="64"/>
    </row>
    <row r="148" spans="2:15" x14ac:dyDescent="0.25">
      <c r="D148" s="12" t="s">
        <v>586</v>
      </c>
      <c r="E148" s="62"/>
      <c r="F148" s="57">
        <v>5700</v>
      </c>
      <c r="G148" s="58">
        <v>3600</v>
      </c>
      <c r="H148" s="59">
        <v>1900</v>
      </c>
      <c r="I148" s="68" t="s">
        <v>11</v>
      </c>
      <c r="K148" s="63" t="s">
        <v>493</v>
      </c>
      <c r="L148" s="72" t="s">
        <v>531</v>
      </c>
      <c r="M148" s="69">
        <v>0</v>
      </c>
      <c r="N148" s="100">
        <f ca="1">CalculateInvestment(Assesment!$J$73,K148,L148,$F148:$I148,M148,Assesment!$F$28,E148)</f>
        <v>0</v>
      </c>
      <c r="O148" s="63"/>
    </row>
    <row r="149" spans="2:15" x14ac:dyDescent="0.25">
      <c r="D149" s="12" t="s">
        <v>587</v>
      </c>
      <c r="E149" s="62"/>
      <c r="F149" s="57">
        <v>2300</v>
      </c>
      <c r="G149" s="58">
        <v>1500</v>
      </c>
      <c r="H149" s="59">
        <v>1300</v>
      </c>
      <c r="I149" s="68" t="s">
        <v>11</v>
      </c>
      <c r="K149" s="63" t="s">
        <v>493</v>
      </c>
      <c r="L149" s="72" t="s">
        <v>531</v>
      </c>
      <c r="M149" s="69">
        <v>0</v>
      </c>
      <c r="N149" s="100">
        <f ca="1">CalculateInvestment(Assesment!$J$73,K149,L149,$F149:$I149,M149,Assesment!$F$28,E149)</f>
        <v>0</v>
      </c>
      <c r="O149" s="63"/>
    </row>
    <row r="150" spans="2:15" x14ac:dyDescent="0.25">
      <c r="D150" s="12" t="s">
        <v>637</v>
      </c>
      <c r="E150" s="61"/>
      <c r="F150" s="57">
        <v>1500</v>
      </c>
      <c r="G150" s="58">
        <v>800</v>
      </c>
      <c r="H150" s="59">
        <v>700</v>
      </c>
      <c r="K150" s="63" t="s">
        <v>492</v>
      </c>
      <c r="L150" s="72" t="s">
        <v>531</v>
      </c>
      <c r="M150" s="69">
        <v>0</v>
      </c>
      <c r="N150" s="100">
        <f ca="1">CalculateInvestment(Assesment!$J$73,K150,L150,$F150:$I150,M150,Assesment!$F$28,E150)</f>
        <v>0</v>
      </c>
      <c r="O150" s="63"/>
    </row>
    <row r="151" spans="2:15" x14ac:dyDescent="0.25">
      <c r="N151" s="64"/>
    </row>
    <row r="152" spans="2:15" x14ac:dyDescent="0.25">
      <c r="B152" t="s">
        <v>473</v>
      </c>
      <c r="N152" s="64"/>
    </row>
    <row r="153" spans="2:15" x14ac:dyDescent="0.25">
      <c r="C153" t="s">
        <v>238</v>
      </c>
      <c r="N153" s="64"/>
    </row>
    <row r="154" spans="2:15" x14ac:dyDescent="0.25">
      <c r="D154" s="12" t="s">
        <v>588</v>
      </c>
      <c r="E154" s="62"/>
      <c r="F154" s="57">
        <v>2600</v>
      </c>
      <c r="G154" s="58">
        <v>1900</v>
      </c>
      <c r="H154" s="59">
        <v>1500</v>
      </c>
      <c r="I154" s="68" t="s">
        <v>11</v>
      </c>
      <c r="K154" s="63" t="s">
        <v>676</v>
      </c>
      <c r="L154" s="72">
        <v>0.8</v>
      </c>
      <c r="M154" s="69">
        <v>0</v>
      </c>
      <c r="N154" s="100">
        <f ca="1">CalculateInvestment(Assesment!$J$73,K154,L154,$F154:$I154,M154,Assesment!$F$28,E154)</f>
        <v>379.99999999999994</v>
      </c>
      <c r="O154" s="63"/>
    </row>
    <row r="155" spans="2:15" x14ac:dyDescent="0.25">
      <c r="D155" s="12" t="s">
        <v>589</v>
      </c>
      <c r="E155" s="62"/>
      <c r="F155" s="57">
        <v>3300</v>
      </c>
      <c r="G155" s="58">
        <v>2000</v>
      </c>
      <c r="H155" s="59">
        <v>1800</v>
      </c>
      <c r="I155" s="68" t="s">
        <v>11</v>
      </c>
      <c r="K155" s="63" t="s">
        <v>676</v>
      </c>
      <c r="L155" s="72">
        <v>0.8</v>
      </c>
      <c r="M155" s="69">
        <v>0</v>
      </c>
      <c r="N155" s="100">
        <f ca="1">CalculateInvestment(Assesment!$J$73,K155,L155,$F155:$I155,M155,Assesment!$F$28,E155)</f>
        <v>399.99999999999989</v>
      </c>
      <c r="O155" s="63"/>
    </row>
    <row r="156" spans="2:15" x14ac:dyDescent="0.25">
      <c r="D156" s="12" t="s">
        <v>590</v>
      </c>
      <c r="E156" s="62"/>
      <c r="F156" s="57">
        <v>1300</v>
      </c>
      <c r="G156" s="58">
        <v>1100</v>
      </c>
      <c r="H156" s="59">
        <v>400</v>
      </c>
      <c r="I156" s="68" t="s">
        <v>11</v>
      </c>
      <c r="K156" s="63" t="s">
        <v>677</v>
      </c>
      <c r="L156" s="72" t="s">
        <v>531</v>
      </c>
      <c r="M156" s="69">
        <v>0</v>
      </c>
      <c r="N156" s="100">
        <f ca="1">CalculateInvestment(Assesment!$J$73,K156,L156,$F156:$I156,M156,Assesment!$F$28,E156)</f>
        <v>1100</v>
      </c>
      <c r="O156" s="63"/>
    </row>
    <row r="157" spans="2:15" x14ac:dyDescent="0.25">
      <c r="C157" t="s">
        <v>474</v>
      </c>
      <c r="N157" s="64"/>
    </row>
    <row r="158" spans="2:15" x14ac:dyDescent="0.25">
      <c r="D158" s="12" t="s">
        <v>591</v>
      </c>
      <c r="E158" s="62"/>
      <c r="F158" s="57">
        <v>800</v>
      </c>
      <c r="G158" s="58">
        <v>600</v>
      </c>
      <c r="H158" s="59">
        <v>500</v>
      </c>
      <c r="I158" s="68" t="s">
        <v>11</v>
      </c>
      <c r="K158" s="63" t="s">
        <v>676</v>
      </c>
      <c r="L158" s="72">
        <v>0.8</v>
      </c>
      <c r="M158" s="69">
        <v>0</v>
      </c>
      <c r="N158" s="100">
        <f ca="1">CalculateInvestment(Assesment!$J$73,K158,L158,$F158:$I158,M158,Assesment!$F$28,E158)</f>
        <v>119.99999999999997</v>
      </c>
      <c r="O158" s="63"/>
    </row>
    <row r="159" spans="2:15" x14ac:dyDescent="0.25">
      <c r="D159" s="12" t="s">
        <v>592</v>
      </c>
      <c r="E159" s="62"/>
      <c r="F159" s="57">
        <v>500</v>
      </c>
      <c r="G159" s="58">
        <v>300</v>
      </c>
      <c r="H159" s="59">
        <v>300</v>
      </c>
      <c r="I159" s="68" t="s">
        <v>11</v>
      </c>
      <c r="K159" s="63" t="s">
        <v>676</v>
      </c>
      <c r="L159" s="72">
        <v>0.8</v>
      </c>
      <c r="M159" s="69">
        <v>0</v>
      </c>
      <c r="N159" s="100">
        <f ca="1">CalculateInvestment(Assesment!$J$73,K159,L159,$F159:$I159,M159,Assesment!$F$28,E159)</f>
        <v>59.999999999999986</v>
      </c>
      <c r="O159" s="63"/>
    </row>
    <row r="160" spans="2:15" x14ac:dyDescent="0.25">
      <c r="D160" s="12" t="s">
        <v>593</v>
      </c>
      <c r="E160" s="62"/>
      <c r="F160" s="57">
        <v>500</v>
      </c>
      <c r="G160" s="58">
        <v>300</v>
      </c>
      <c r="H160" s="59">
        <v>300</v>
      </c>
      <c r="I160" s="68" t="s">
        <v>11</v>
      </c>
      <c r="K160" s="63" t="s">
        <v>676</v>
      </c>
      <c r="L160" s="72">
        <v>0.8</v>
      </c>
      <c r="M160" s="69">
        <v>0</v>
      </c>
      <c r="N160" s="100">
        <f ca="1">CalculateInvestment(Assesment!$J$73,K160,L160,$F160:$I160,M160,Assesment!$F$28,E160)</f>
        <v>59.999999999999986</v>
      </c>
      <c r="O160" s="63"/>
    </row>
    <row r="161" spans="2:15" x14ac:dyDescent="0.25">
      <c r="D161" s="12" t="s">
        <v>594</v>
      </c>
      <c r="E161" s="62"/>
      <c r="F161" s="57">
        <v>1800</v>
      </c>
      <c r="G161" s="58">
        <v>1400</v>
      </c>
      <c r="H161" s="59">
        <v>1300</v>
      </c>
      <c r="I161" s="68" t="s">
        <v>11</v>
      </c>
      <c r="K161" s="63" t="s">
        <v>676</v>
      </c>
      <c r="L161" s="72">
        <v>0.8</v>
      </c>
      <c r="M161" s="69">
        <v>0</v>
      </c>
      <c r="N161" s="100">
        <f ca="1">CalculateInvestment(Assesment!$J$73,K161,L161,$F161:$I161,M161,Assesment!$F$28,E161)</f>
        <v>279.99999999999994</v>
      </c>
      <c r="O161" s="63"/>
    </row>
    <row r="162" spans="2:15" x14ac:dyDescent="0.25">
      <c r="D162" s="12" t="s">
        <v>595</v>
      </c>
      <c r="E162" s="62"/>
      <c r="F162" s="57">
        <v>3300</v>
      </c>
      <c r="G162" s="58">
        <v>2800</v>
      </c>
      <c r="H162" s="59">
        <v>2700</v>
      </c>
      <c r="I162" s="68" t="s">
        <v>11</v>
      </c>
      <c r="K162" s="63" t="s">
        <v>676</v>
      </c>
      <c r="L162" s="72">
        <v>0.8</v>
      </c>
      <c r="M162" s="69">
        <v>0</v>
      </c>
      <c r="N162" s="100">
        <f ca="1">CalculateInvestment(Assesment!$J$73,K162,L162,$F162:$I162,M162,Assesment!$F$28,E162)</f>
        <v>559.99999999999989</v>
      </c>
      <c r="O162" s="63"/>
    </row>
    <row r="163" spans="2:15" x14ac:dyDescent="0.25">
      <c r="D163" s="12" t="s">
        <v>596</v>
      </c>
      <c r="E163" s="62"/>
      <c r="F163" s="57">
        <v>500</v>
      </c>
      <c r="G163" s="58">
        <v>400</v>
      </c>
      <c r="H163" s="59">
        <v>300</v>
      </c>
      <c r="I163" s="68" t="s">
        <v>11</v>
      </c>
      <c r="K163" s="63" t="s">
        <v>676</v>
      </c>
      <c r="L163" s="72">
        <v>0.8</v>
      </c>
      <c r="M163" s="69">
        <v>0</v>
      </c>
      <c r="N163" s="100">
        <f ca="1">CalculateInvestment(Assesment!$J$73,K163,L163,$F163:$I163,M163,Assesment!$F$28,E163)</f>
        <v>79.999999999999986</v>
      </c>
      <c r="O163" s="63"/>
    </row>
    <row r="164" spans="2:15" x14ac:dyDescent="0.25">
      <c r="D164" s="12" t="s">
        <v>597</v>
      </c>
      <c r="E164" s="62"/>
      <c r="F164" s="57">
        <v>500</v>
      </c>
      <c r="G164" s="58">
        <v>400</v>
      </c>
      <c r="H164" s="59">
        <v>300</v>
      </c>
      <c r="K164" s="63" t="s">
        <v>674</v>
      </c>
      <c r="L164" s="72" t="s">
        <v>531</v>
      </c>
      <c r="M164" s="69">
        <v>0</v>
      </c>
      <c r="N164" s="100">
        <f ca="1">CalculateInvestment(Assesment!$J$73,K164,L164,$F164:$I164,M164,Assesment!$F$28,E164)</f>
        <v>0</v>
      </c>
      <c r="O164" s="63"/>
    </row>
    <row r="165" spans="2:15" x14ac:dyDescent="0.25">
      <c r="D165" s="12" t="s">
        <v>598</v>
      </c>
      <c r="E165" s="62"/>
      <c r="F165" s="57">
        <v>700</v>
      </c>
      <c r="G165" s="58">
        <v>500</v>
      </c>
      <c r="H165" s="59">
        <v>400</v>
      </c>
      <c r="I165" s="68" t="s">
        <v>11</v>
      </c>
      <c r="K165" s="63" t="s">
        <v>676</v>
      </c>
      <c r="L165" s="72">
        <v>0.8</v>
      </c>
      <c r="M165" s="69">
        <v>0</v>
      </c>
      <c r="N165" s="100">
        <f ca="1">CalculateInvestment(Assesment!$J$73,K165,L165,$F165:$I165,M165,Assesment!$F$28,E165)</f>
        <v>99.999999999999972</v>
      </c>
      <c r="O165" s="63"/>
    </row>
    <row r="166" spans="2:15" x14ac:dyDescent="0.25">
      <c r="N166" s="64"/>
    </row>
    <row r="167" spans="2:15" ht="15.75" thickBot="1" x14ac:dyDescent="0.3">
      <c r="F167" s="87">
        <f>SUM(F16:F166)</f>
        <v>296045</v>
      </c>
      <c r="G167" s="87">
        <f>SUM(G16:G166)</f>
        <v>197840</v>
      </c>
      <c r="H167" s="87">
        <f>SUM(H16:H166)</f>
        <v>138850</v>
      </c>
      <c r="N167" s="102">
        <f ca="1">SUM(N16:N166)</f>
        <v>4820</v>
      </c>
    </row>
    <row r="168" spans="2:15" ht="15.75" thickTop="1" x14ac:dyDescent="0.25">
      <c r="N168" s="64"/>
    </row>
    <row r="169" spans="2:15" x14ac:dyDescent="0.25">
      <c r="B169" s="65" t="s">
        <v>282</v>
      </c>
      <c r="C169" s="65"/>
      <c r="D169" s="65"/>
      <c r="E169" s="66"/>
      <c r="F169" s="67"/>
      <c r="G169" s="67"/>
      <c r="H169" s="67"/>
      <c r="I169" s="67"/>
      <c r="K169" s="67"/>
      <c r="L169" s="67"/>
      <c r="M169" s="67"/>
      <c r="N169" s="103"/>
      <c r="O169" s="67"/>
    </row>
    <row r="170" spans="2:15" x14ac:dyDescent="0.25">
      <c r="N170" s="64"/>
    </row>
    <row r="171" spans="2:15" x14ac:dyDescent="0.25">
      <c r="D171" s="12" t="s">
        <v>599</v>
      </c>
      <c r="E171" s="62"/>
      <c r="F171" s="57">
        <v>2500</v>
      </c>
      <c r="G171" s="58">
        <v>2400</v>
      </c>
      <c r="H171" s="59">
        <v>2300</v>
      </c>
      <c r="I171" s="68" t="s">
        <v>11</v>
      </c>
      <c r="K171" s="63" t="s">
        <v>676</v>
      </c>
      <c r="L171" s="72" t="s">
        <v>531</v>
      </c>
      <c r="M171" s="69">
        <v>1000</v>
      </c>
      <c r="N171" s="100">
        <f ca="1">CalculateInvestment(Assesment!$J$73,K171,L171,$F171:$I171,M171,Assesment!$F$28,E171)</f>
        <v>1000</v>
      </c>
      <c r="O171" s="63"/>
    </row>
    <row r="172" spans="2:15" x14ac:dyDescent="0.25">
      <c r="D172" s="12" t="s">
        <v>600</v>
      </c>
      <c r="E172" s="62"/>
      <c r="F172" s="57">
        <v>2600</v>
      </c>
      <c r="G172" s="58">
        <v>2500</v>
      </c>
      <c r="H172" s="59">
        <v>2400</v>
      </c>
      <c r="I172" s="68" t="s">
        <v>11</v>
      </c>
      <c r="K172" s="63" t="s">
        <v>677</v>
      </c>
      <c r="L172" s="72" t="s">
        <v>531</v>
      </c>
      <c r="M172" s="69">
        <v>0</v>
      </c>
      <c r="N172" s="100">
        <f ca="1">CalculateInvestment(Assesment!$J$73,K172,L172,$F172:$I172,M172,Assesment!$F$28,E172)</f>
        <v>2500</v>
      </c>
      <c r="O172" s="63"/>
    </row>
    <row r="173" spans="2:15" x14ac:dyDescent="0.25">
      <c r="D173" s="12" t="s">
        <v>601</v>
      </c>
      <c r="E173" s="62"/>
      <c r="F173" s="57">
        <v>2200</v>
      </c>
      <c r="G173" s="58">
        <v>2100</v>
      </c>
      <c r="H173" s="59">
        <v>2100</v>
      </c>
      <c r="I173" s="68" t="s">
        <v>11</v>
      </c>
      <c r="K173" s="63" t="s">
        <v>677</v>
      </c>
      <c r="L173" s="72" t="s">
        <v>531</v>
      </c>
      <c r="M173" s="69">
        <v>0</v>
      </c>
      <c r="N173" s="100">
        <f ca="1">CalculateInvestment(Assesment!$J$73,K173,L173,$F173:$I173,M173,Assesment!$F$28,E173)</f>
        <v>2100</v>
      </c>
      <c r="O173" s="63"/>
    </row>
    <row r="174" spans="2:15" x14ac:dyDescent="0.25">
      <c r="D174" s="12" t="s">
        <v>602</v>
      </c>
      <c r="E174" s="62"/>
      <c r="F174" s="57">
        <v>3800</v>
      </c>
      <c r="G174" s="58">
        <v>2700</v>
      </c>
      <c r="H174" s="59">
        <v>2700</v>
      </c>
      <c r="I174" s="68" t="s">
        <v>11</v>
      </c>
      <c r="K174" s="63" t="s">
        <v>677</v>
      </c>
      <c r="L174" s="72" t="s">
        <v>531</v>
      </c>
      <c r="M174" s="69">
        <v>0</v>
      </c>
      <c r="N174" s="100">
        <f ca="1">CalculateInvestment(Assesment!$J$73,K174,L174,$F174:$I174,M174,Assesment!$F$28,E174)</f>
        <v>2700</v>
      </c>
      <c r="O174" s="63"/>
    </row>
    <row r="175" spans="2:15" x14ac:dyDescent="0.25">
      <c r="D175" s="12" t="s">
        <v>603</v>
      </c>
      <c r="E175" s="62"/>
      <c r="F175" s="57">
        <v>2700</v>
      </c>
      <c r="G175" s="58">
        <v>1800</v>
      </c>
      <c r="H175" s="59">
        <v>1200</v>
      </c>
      <c r="I175" s="68" t="s">
        <v>11</v>
      </c>
      <c r="K175" s="63" t="s">
        <v>676</v>
      </c>
      <c r="L175" s="72">
        <v>0.8</v>
      </c>
      <c r="M175" s="69">
        <v>0</v>
      </c>
      <c r="N175" s="100">
        <f ca="1">CalculateInvestment(Assesment!$J$73,K175,L175,$F175:$I175,M175,Assesment!$F$28,E175)</f>
        <v>359.99999999999994</v>
      </c>
      <c r="O175" s="63"/>
    </row>
    <row r="176" spans="2:15" x14ac:dyDescent="0.25">
      <c r="D176" s="12" t="s">
        <v>604</v>
      </c>
      <c r="E176" s="62"/>
      <c r="F176" s="57">
        <v>900</v>
      </c>
      <c r="G176" s="58">
        <v>750</v>
      </c>
      <c r="H176" s="59">
        <v>500</v>
      </c>
      <c r="K176" s="63" t="s">
        <v>677</v>
      </c>
      <c r="L176" s="72" t="s">
        <v>531</v>
      </c>
      <c r="M176" s="69">
        <v>0</v>
      </c>
      <c r="N176" s="100">
        <f ca="1">CalculateInvestment(Assesment!$J$73,K176,L176,$F176:$I176,M176,Assesment!$F$28,E176)</f>
        <v>750</v>
      </c>
      <c r="O176" s="63"/>
    </row>
    <row r="177" spans="4:15" x14ac:dyDescent="0.25">
      <c r="D177" s="12" t="s">
        <v>6</v>
      </c>
      <c r="E177" s="61"/>
      <c r="F177" s="57">
        <v>1500</v>
      </c>
      <c r="G177" s="58">
        <v>900</v>
      </c>
      <c r="H177" s="59">
        <v>700</v>
      </c>
      <c r="I177" s="68" t="s">
        <v>11</v>
      </c>
      <c r="K177" s="63" t="s">
        <v>666</v>
      </c>
      <c r="L177" s="72" t="s">
        <v>531</v>
      </c>
      <c r="M177" s="69">
        <v>0</v>
      </c>
      <c r="N177" s="100">
        <f ca="1">CalculateInvestment(Assesment!$J$73,K177,L177,$F177:$I177,M177,Assesment!$F$28,E177)</f>
        <v>900</v>
      </c>
      <c r="O177" s="63"/>
    </row>
    <row r="178" spans="4:15" x14ac:dyDescent="0.25">
      <c r="D178" s="12" t="s">
        <v>605</v>
      </c>
      <c r="E178" s="62"/>
      <c r="F178" s="57">
        <v>3500</v>
      </c>
      <c r="G178" s="58">
        <v>3000</v>
      </c>
      <c r="H178" s="59">
        <v>2500</v>
      </c>
      <c r="I178" s="68" t="s">
        <v>11</v>
      </c>
      <c r="K178" s="63" t="s">
        <v>677</v>
      </c>
      <c r="L178" s="72" t="s">
        <v>531</v>
      </c>
      <c r="M178" s="69">
        <v>0</v>
      </c>
      <c r="N178" s="100">
        <f ca="1">CalculateInvestment(Assesment!$J$73,K178,L178,$F178:$I178,M178,Assesment!$F$28,E178)</f>
        <v>3000</v>
      </c>
      <c r="O178" s="63"/>
    </row>
    <row r="179" spans="4:15" x14ac:dyDescent="0.25">
      <c r="D179" s="12" t="s">
        <v>686</v>
      </c>
      <c r="E179" s="62"/>
      <c r="F179" s="57">
        <v>1300</v>
      </c>
      <c r="G179" s="58">
        <v>900</v>
      </c>
      <c r="H179" s="59">
        <v>600</v>
      </c>
      <c r="K179" s="63" t="s">
        <v>677</v>
      </c>
      <c r="L179" s="72" t="s">
        <v>531</v>
      </c>
      <c r="M179" s="69">
        <v>0</v>
      </c>
      <c r="N179" s="100">
        <f ca="1">CalculateInvestment(Assesment!$J$73,K179,L179,$F179:$I179,M179,Assesment!$F$28,E179)</f>
        <v>900</v>
      </c>
      <c r="O179" s="63"/>
    </row>
    <row r="180" spans="4:15" x14ac:dyDescent="0.25">
      <c r="D180" s="12" t="s">
        <v>606</v>
      </c>
      <c r="E180" s="62"/>
      <c r="F180" s="57">
        <v>800</v>
      </c>
      <c r="G180" s="58">
        <v>600</v>
      </c>
      <c r="H180" s="59">
        <v>500</v>
      </c>
      <c r="I180" s="68" t="s">
        <v>11</v>
      </c>
      <c r="K180" s="63" t="s">
        <v>677</v>
      </c>
      <c r="L180" s="72" t="s">
        <v>531</v>
      </c>
      <c r="M180" s="69">
        <v>0</v>
      </c>
      <c r="N180" s="100">
        <f ca="1">CalculateInvestment(Assesment!$J$73,K180,L180,$F180:$I180,M180,Assesment!$F$28,E180)</f>
        <v>600</v>
      </c>
      <c r="O180" s="63"/>
    </row>
    <row r="181" spans="4:15" x14ac:dyDescent="0.25">
      <c r="D181" s="12" t="s">
        <v>607</v>
      </c>
      <c r="E181" s="62"/>
      <c r="F181" s="57">
        <v>500</v>
      </c>
      <c r="G181" s="58">
        <v>300</v>
      </c>
      <c r="H181" s="59">
        <v>300</v>
      </c>
      <c r="K181" s="63" t="s">
        <v>677</v>
      </c>
      <c r="L181" s="72" t="s">
        <v>531</v>
      </c>
      <c r="M181" s="69">
        <v>0</v>
      </c>
      <c r="N181" s="100">
        <f ca="1">CalculateInvestment(Assesment!$J$73,K181,L181,$F181:$I181,M181,Assesment!$F$28,E181)</f>
        <v>300</v>
      </c>
      <c r="O181" s="63"/>
    </row>
    <row r="182" spans="4:15" x14ac:dyDescent="0.25">
      <c r="D182" s="12" t="s">
        <v>608</v>
      </c>
      <c r="E182" s="62"/>
      <c r="F182" s="57">
        <v>900</v>
      </c>
      <c r="G182" s="58">
        <v>600</v>
      </c>
      <c r="H182" s="59">
        <v>500</v>
      </c>
      <c r="I182" s="68" t="s">
        <v>11</v>
      </c>
      <c r="K182" s="63" t="s">
        <v>676</v>
      </c>
      <c r="L182" s="72">
        <v>0.5</v>
      </c>
      <c r="M182" s="69">
        <v>0</v>
      </c>
      <c r="N182" s="100">
        <f ca="1">CalculateInvestment(Assesment!$J$73,K182,L182,$F182:$I182,M182,Assesment!$F$28,E182)</f>
        <v>300</v>
      </c>
      <c r="O182" s="63"/>
    </row>
    <row r="183" spans="4:15" x14ac:dyDescent="0.25">
      <c r="D183" s="12" t="s">
        <v>636</v>
      </c>
      <c r="E183" s="62"/>
      <c r="F183" s="57">
        <v>3000</v>
      </c>
      <c r="G183" s="58">
        <v>2000</v>
      </c>
      <c r="H183" s="59">
        <v>1000</v>
      </c>
      <c r="K183" s="63" t="s">
        <v>677</v>
      </c>
      <c r="L183" s="72" t="s">
        <v>531</v>
      </c>
      <c r="M183" s="69">
        <v>0</v>
      </c>
      <c r="N183" s="100">
        <f ca="1">CalculateInvestment(Assesment!$J$73,K183,L183,$F183:$I183,M183,Assesment!$F$28,E183)</f>
        <v>2000</v>
      </c>
      <c r="O183" s="63"/>
    </row>
    <row r="184" spans="4:15" x14ac:dyDescent="0.25">
      <c r="N184" s="64"/>
    </row>
    <row r="185" spans="4:15" ht="15.75" thickBot="1" x14ac:dyDescent="0.3">
      <c r="F185" s="87">
        <f>SUM(F171:F183)</f>
        <v>26200</v>
      </c>
      <c r="G185" s="87">
        <f>SUM(G171:G183)</f>
        <v>20550</v>
      </c>
      <c r="H185" s="87">
        <f>SUM(H171:H183)</f>
        <v>17300</v>
      </c>
      <c r="N185" s="102">
        <f ca="1">SUM(N171:N183)</f>
        <v>17410</v>
      </c>
    </row>
    <row r="186" spans="4:15" ht="15.75" thickTop="1" x14ac:dyDescent="0.25">
      <c r="O186"/>
    </row>
    <row r="187" spans="4:15" x14ac:dyDescent="0.25">
      <c r="N187" s="9"/>
      <c r="O187"/>
    </row>
    <row r="194" spans="4:15" x14ac:dyDescent="0.25">
      <c r="D194" s="13"/>
      <c r="F194"/>
      <c r="G194"/>
      <c r="H194"/>
      <c r="O194"/>
    </row>
    <row r="195" spans="4:15" x14ac:dyDescent="0.25">
      <c r="D195" s="13"/>
      <c r="F195"/>
      <c r="G195"/>
      <c r="H195"/>
      <c r="O195"/>
    </row>
    <row r="196" spans="4:15" x14ac:dyDescent="0.25">
      <c r="D196" s="13"/>
      <c r="F196"/>
      <c r="G196"/>
      <c r="H196"/>
      <c r="O196"/>
    </row>
    <row r="197" spans="4:15" x14ac:dyDescent="0.25">
      <c r="F197"/>
      <c r="G197"/>
      <c r="H197"/>
      <c r="O197"/>
    </row>
    <row r="198" spans="4:15" x14ac:dyDescent="0.25">
      <c r="F198"/>
      <c r="G198"/>
      <c r="H198"/>
      <c r="O198"/>
    </row>
    <row r="199" spans="4:15" x14ac:dyDescent="0.25">
      <c r="F199"/>
      <c r="G199"/>
      <c r="H199"/>
      <c r="O199"/>
    </row>
    <row r="200" spans="4:15" x14ac:dyDescent="0.25">
      <c r="F200"/>
      <c r="G200"/>
      <c r="H200"/>
      <c r="O200"/>
    </row>
    <row r="201" spans="4:15" x14ac:dyDescent="0.25">
      <c r="F201"/>
      <c r="G201"/>
      <c r="H201"/>
      <c r="O201"/>
    </row>
    <row r="202" spans="4:15" x14ac:dyDescent="0.25">
      <c r="E202"/>
      <c r="F202"/>
      <c r="G202"/>
      <c r="H202"/>
      <c r="I202"/>
      <c r="M202"/>
      <c r="O202"/>
    </row>
    <row r="203" spans="4:15" x14ac:dyDescent="0.25">
      <c r="E203"/>
      <c r="F203"/>
      <c r="G203"/>
      <c r="H203"/>
      <c r="I203"/>
      <c r="M203"/>
      <c r="O203"/>
    </row>
    <row r="204" spans="4:15" x14ac:dyDescent="0.25">
      <c r="E204"/>
      <c r="F204"/>
      <c r="G204"/>
      <c r="H204"/>
      <c r="I204"/>
      <c r="M204"/>
      <c r="O204"/>
    </row>
    <row r="205" spans="4:15" x14ac:dyDescent="0.25">
      <c r="E205"/>
      <c r="F205"/>
      <c r="G205"/>
      <c r="H205"/>
      <c r="I205"/>
      <c r="M205"/>
      <c r="O205"/>
    </row>
    <row r="206" spans="4:15" x14ac:dyDescent="0.25">
      <c r="E206"/>
      <c r="F206"/>
      <c r="G206"/>
      <c r="H206"/>
      <c r="I206"/>
      <c r="M206"/>
      <c r="O206"/>
    </row>
    <row r="207" spans="4:15" x14ac:dyDescent="0.25">
      <c r="E207"/>
      <c r="F207"/>
      <c r="G207"/>
      <c r="H207"/>
      <c r="I207"/>
      <c r="M207"/>
      <c r="O207"/>
    </row>
    <row r="208" spans="4:15" x14ac:dyDescent="0.25">
      <c r="E208"/>
      <c r="F208"/>
      <c r="G208"/>
      <c r="H208"/>
      <c r="I208"/>
      <c r="M208"/>
      <c r="O208"/>
    </row>
  </sheetData>
  <conditionalFormatting sqref="K71:K74">
    <cfRule type="cellIs" dxfId="378" priority="400" operator="equal">
      <formula>"Repair"</formula>
    </cfRule>
    <cfRule type="cellIs" dxfId="377" priority="401" operator="equal">
      <formula>"Dispose"</formula>
    </cfRule>
  </conditionalFormatting>
  <conditionalFormatting sqref="K71:K74">
    <cfRule type="cellIs" dxfId="376" priority="392" operator="equal">
      <formula>"Repair"</formula>
    </cfRule>
    <cfRule type="cellIs" dxfId="375" priority="393" operator="equal">
      <formula>"Dispose"</formula>
    </cfRule>
  </conditionalFormatting>
  <conditionalFormatting sqref="K71:K74">
    <cfRule type="cellIs" dxfId="374" priority="391" operator="equal">
      <formula>"Missing"</formula>
    </cfRule>
  </conditionalFormatting>
  <conditionalFormatting sqref="K71:K74">
    <cfRule type="cellIs" dxfId="373" priority="388" operator="equal">
      <formula>"Repair"</formula>
    </cfRule>
    <cfRule type="cellIs" dxfId="372" priority="390" operator="equal">
      <formula>"Dispose"</formula>
    </cfRule>
  </conditionalFormatting>
  <conditionalFormatting sqref="K71:K74">
    <cfRule type="cellIs" dxfId="371" priority="389" operator="equal">
      <formula>"Missing"</formula>
    </cfRule>
  </conditionalFormatting>
  <conditionalFormatting sqref="N104:N106 N171:N183 N16:N23">
    <cfRule type="cellIs" dxfId="370" priority="387" operator="equal">
      <formula>"REQUIRED"</formula>
    </cfRule>
  </conditionalFormatting>
  <conditionalFormatting sqref="K20 K61:K64 K22:K24 K29:K42 K44:K58 K67:K183 K8:K10 K6">
    <cfRule type="cellIs" dxfId="369" priority="211" operator="equal">
      <formula>"Unknown"</formula>
    </cfRule>
    <cfRule type="cellIs" dxfId="368" priority="364" operator="equal">
      <formula>"Good"</formula>
    </cfRule>
    <cfRule type="cellIs" dxfId="367" priority="394" operator="equal">
      <formula>"Repair"</formula>
    </cfRule>
    <cfRule type="cellIs" dxfId="366" priority="402" operator="equal">
      <formula>"Replace"</formula>
    </cfRule>
    <cfRule type="cellIs" dxfId="365" priority="403" operator="equal">
      <formula>"Improve"</formula>
    </cfRule>
    <cfRule type="cellIs" dxfId="364" priority="404" operator="equal">
      <formula>"Missing"</formula>
    </cfRule>
    <cfRule type="cellIs" dxfId="363" priority="405" operator="equal">
      <formula>"Dispose"</formula>
    </cfRule>
    <cfRule type="cellIs" dxfId="362" priority="406" operator="equal">
      <formula>"Ignore"</formula>
    </cfRule>
  </conditionalFormatting>
  <conditionalFormatting sqref="K30:K42 K44:K50">
    <cfRule type="cellIs" dxfId="361" priority="360" operator="equal">
      <formula>"Replace"</formula>
    </cfRule>
  </conditionalFormatting>
  <conditionalFormatting sqref="K30:K42 K44:K50">
    <cfRule type="cellIs" dxfId="360" priority="357" operator="equal">
      <formula>"Unknown"</formula>
    </cfRule>
  </conditionalFormatting>
  <conditionalFormatting sqref="K30:K42 K44:K50">
    <cfRule type="cellIs" dxfId="359" priority="358" operator="equal">
      <formula>"Good"</formula>
    </cfRule>
  </conditionalFormatting>
  <conditionalFormatting sqref="K30:K42 K44:K50">
    <cfRule type="cellIs" dxfId="358" priority="359" operator="equal">
      <formula>"Repair"</formula>
    </cfRule>
    <cfRule type="cellIs" dxfId="357" priority="362" operator="equal">
      <formula>"Dispose"</formula>
    </cfRule>
  </conditionalFormatting>
  <conditionalFormatting sqref="K30:K42 K44:K50">
    <cfRule type="cellIs" dxfId="356" priority="361" operator="equal">
      <formula>"Missing"</formula>
    </cfRule>
  </conditionalFormatting>
  <conditionalFormatting sqref="K30:K42 K44:K50 K104:K106 K177">
    <cfRule type="cellIs" dxfId="355" priority="363" operator="equal">
      <formula>"Ignore"</formula>
    </cfRule>
  </conditionalFormatting>
  <conditionalFormatting sqref="K54:K57">
    <cfRule type="cellIs" dxfId="354" priority="353" operator="equal">
      <formula>"Replace"</formula>
    </cfRule>
  </conditionalFormatting>
  <conditionalFormatting sqref="K54:K57">
    <cfRule type="cellIs" dxfId="353" priority="350" operator="equal">
      <formula>"Unknown"</formula>
    </cfRule>
  </conditionalFormatting>
  <conditionalFormatting sqref="K54:K57">
    <cfRule type="cellIs" dxfId="352" priority="351" operator="equal">
      <formula>"Good"</formula>
    </cfRule>
  </conditionalFormatting>
  <conditionalFormatting sqref="K54:K57">
    <cfRule type="cellIs" dxfId="351" priority="352" operator="equal">
      <formula>"Repair"</formula>
    </cfRule>
    <cfRule type="cellIs" dxfId="350" priority="355" operator="equal">
      <formula>"Dispose"</formula>
    </cfRule>
  </conditionalFormatting>
  <conditionalFormatting sqref="K54:K57">
    <cfRule type="cellIs" dxfId="349" priority="354" operator="equal">
      <formula>"Missing"</formula>
    </cfRule>
  </conditionalFormatting>
  <conditionalFormatting sqref="K54:K57">
    <cfRule type="cellIs" dxfId="348" priority="356" operator="equal">
      <formula>"Ignore"</formula>
    </cfRule>
  </conditionalFormatting>
  <conditionalFormatting sqref="K61:K64 K67">
    <cfRule type="cellIs" dxfId="347" priority="346" operator="equal">
      <formula>"Replace"</formula>
    </cfRule>
  </conditionalFormatting>
  <conditionalFormatting sqref="K61:K64 K67">
    <cfRule type="cellIs" dxfId="346" priority="343" operator="equal">
      <formula>"Unknown"</formula>
    </cfRule>
  </conditionalFormatting>
  <conditionalFormatting sqref="K61:K64 K67">
    <cfRule type="cellIs" dxfId="345" priority="344" operator="equal">
      <formula>"Good"</formula>
    </cfRule>
  </conditionalFormatting>
  <conditionalFormatting sqref="K61:K64 K67">
    <cfRule type="cellIs" dxfId="344" priority="345" operator="equal">
      <formula>"Repair"</formula>
    </cfRule>
    <cfRule type="cellIs" dxfId="343" priority="348" operator="equal">
      <formula>"Dispose"</formula>
    </cfRule>
  </conditionalFormatting>
  <conditionalFormatting sqref="K61:K64 K67">
    <cfRule type="cellIs" dxfId="342" priority="347" operator="equal">
      <formula>"Missing"</formula>
    </cfRule>
  </conditionalFormatting>
  <conditionalFormatting sqref="K61:K64 K67">
    <cfRule type="cellIs" dxfId="341" priority="349" operator="equal">
      <formula>"Ignore"</formula>
    </cfRule>
  </conditionalFormatting>
  <conditionalFormatting sqref="K69">
    <cfRule type="cellIs" dxfId="340" priority="339" operator="equal">
      <formula>"Replace"</formula>
    </cfRule>
  </conditionalFormatting>
  <conditionalFormatting sqref="K69">
    <cfRule type="cellIs" dxfId="339" priority="336" operator="equal">
      <formula>"Unknown"</formula>
    </cfRule>
  </conditionalFormatting>
  <conditionalFormatting sqref="K69">
    <cfRule type="cellIs" dxfId="338" priority="337" operator="equal">
      <formula>"Good"</formula>
    </cfRule>
  </conditionalFormatting>
  <conditionalFormatting sqref="K69">
    <cfRule type="cellIs" dxfId="337" priority="338" operator="equal">
      <formula>"Repair"</formula>
    </cfRule>
    <cfRule type="cellIs" dxfId="336" priority="341" operator="equal">
      <formula>"Dispose"</formula>
    </cfRule>
  </conditionalFormatting>
  <conditionalFormatting sqref="K69">
    <cfRule type="cellIs" dxfId="335" priority="340" operator="equal">
      <formula>"Missing"</formula>
    </cfRule>
  </conditionalFormatting>
  <conditionalFormatting sqref="K69">
    <cfRule type="cellIs" dxfId="334" priority="342" operator="equal">
      <formula>"Ignore"</formula>
    </cfRule>
  </conditionalFormatting>
  <conditionalFormatting sqref="K71:K74">
    <cfRule type="cellIs" dxfId="333" priority="332" operator="equal">
      <formula>"Repair"</formula>
    </cfRule>
    <cfRule type="cellIs" dxfId="332" priority="334" operator="equal">
      <formula>"Dispose"</formula>
    </cfRule>
  </conditionalFormatting>
  <conditionalFormatting sqref="K71:K74">
    <cfRule type="cellIs" dxfId="331" priority="333" operator="equal">
      <formula>"Missing"</formula>
    </cfRule>
  </conditionalFormatting>
  <conditionalFormatting sqref="K71:K74">
    <cfRule type="cellIs" dxfId="330" priority="335" operator="equal">
      <formula>"Ignore"</formula>
    </cfRule>
  </conditionalFormatting>
  <conditionalFormatting sqref="K76:K80">
    <cfRule type="cellIs" dxfId="329" priority="328" operator="equal">
      <formula>"Replace"</formula>
    </cfRule>
  </conditionalFormatting>
  <conditionalFormatting sqref="K76:K80">
    <cfRule type="cellIs" dxfId="328" priority="325" operator="equal">
      <formula>"Unknown"</formula>
    </cfRule>
  </conditionalFormatting>
  <conditionalFormatting sqref="K76:K80">
    <cfRule type="cellIs" dxfId="327" priority="326" operator="equal">
      <formula>"Good"</formula>
    </cfRule>
  </conditionalFormatting>
  <conditionalFormatting sqref="K76:K80">
    <cfRule type="cellIs" dxfId="326" priority="327" operator="equal">
      <formula>"Repair"</formula>
    </cfRule>
    <cfRule type="cellIs" dxfId="325" priority="330" operator="equal">
      <formula>"Dispose"</formula>
    </cfRule>
  </conditionalFormatting>
  <conditionalFormatting sqref="K76:K80">
    <cfRule type="cellIs" dxfId="324" priority="329" operator="equal">
      <formula>"Missing"</formula>
    </cfRule>
  </conditionalFormatting>
  <conditionalFormatting sqref="K76:K80">
    <cfRule type="cellIs" dxfId="323" priority="331" operator="equal">
      <formula>"Ignore"</formula>
    </cfRule>
  </conditionalFormatting>
  <conditionalFormatting sqref="K82:K83">
    <cfRule type="cellIs" dxfId="322" priority="321" operator="equal">
      <formula>"Replace"</formula>
    </cfRule>
  </conditionalFormatting>
  <conditionalFormatting sqref="K82:K83">
    <cfRule type="cellIs" dxfId="321" priority="318" operator="equal">
      <formula>"Unknown"</formula>
    </cfRule>
  </conditionalFormatting>
  <conditionalFormatting sqref="K82:K83">
    <cfRule type="cellIs" dxfId="320" priority="319" operator="equal">
      <formula>"Good"</formula>
    </cfRule>
  </conditionalFormatting>
  <conditionalFormatting sqref="K82:K83">
    <cfRule type="cellIs" dxfId="319" priority="320" operator="equal">
      <formula>"Repair"</formula>
    </cfRule>
    <cfRule type="cellIs" dxfId="318" priority="323" operator="equal">
      <formula>"Dispose"</formula>
    </cfRule>
  </conditionalFormatting>
  <conditionalFormatting sqref="K82:K83">
    <cfRule type="cellIs" dxfId="317" priority="322" operator="equal">
      <formula>"Missing"</formula>
    </cfRule>
  </conditionalFormatting>
  <conditionalFormatting sqref="K82:K83">
    <cfRule type="cellIs" dxfId="316" priority="324" operator="equal">
      <formula>"Ignore"</formula>
    </cfRule>
  </conditionalFormatting>
  <conditionalFormatting sqref="K85:K89">
    <cfRule type="cellIs" dxfId="315" priority="314" operator="equal">
      <formula>"Replace"</formula>
    </cfRule>
  </conditionalFormatting>
  <conditionalFormatting sqref="K85:K89">
    <cfRule type="cellIs" dxfId="314" priority="311" operator="equal">
      <formula>"Unknown"</formula>
    </cfRule>
  </conditionalFormatting>
  <conditionalFormatting sqref="K85:K89">
    <cfRule type="cellIs" dxfId="313" priority="312" operator="equal">
      <formula>"Good"</formula>
    </cfRule>
  </conditionalFormatting>
  <conditionalFormatting sqref="K85:K89">
    <cfRule type="cellIs" dxfId="312" priority="313" operator="equal">
      <formula>"Repair"</formula>
    </cfRule>
    <cfRule type="cellIs" dxfId="311" priority="316" operator="equal">
      <formula>"Dispose"</formula>
    </cfRule>
  </conditionalFormatting>
  <conditionalFormatting sqref="K85:K89">
    <cfRule type="cellIs" dxfId="310" priority="315" operator="equal">
      <formula>"Missing"</formula>
    </cfRule>
  </conditionalFormatting>
  <conditionalFormatting sqref="K85:K89">
    <cfRule type="cellIs" dxfId="309" priority="317" operator="equal">
      <formula>"Ignore"</formula>
    </cfRule>
  </conditionalFormatting>
  <conditionalFormatting sqref="K91:K93">
    <cfRule type="cellIs" dxfId="308" priority="307" operator="equal">
      <formula>"Replace"</formula>
    </cfRule>
  </conditionalFormatting>
  <conditionalFormatting sqref="K91:K93">
    <cfRule type="cellIs" dxfId="307" priority="304" operator="equal">
      <formula>"Unknown"</formula>
    </cfRule>
  </conditionalFormatting>
  <conditionalFormatting sqref="K91:K93">
    <cfRule type="cellIs" dxfId="306" priority="305" operator="equal">
      <formula>"Good"</formula>
    </cfRule>
  </conditionalFormatting>
  <conditionalFormatting sqref="K91:K93">
    <cfRule type="cellIs" dxfId="305" priority="306" operator="equal">
      <formula>"Repair"</formula>
    </cfRule>
    <cfRule type="cellIs" dxfId="304" priority="309" operator="equal">
      <formula>"Dispose"</formula>
    </cfRule>
  </conditionalFormatting>
  <conditionalFormatting sqref="K91:K93">
    <cfRule type="cellIs" dxfId="303" priority="308" operator="equal">
      <formula>"Missing"</formula>
    </cfRule>
  </conditionalFormatting>
  <conditionalFormatting sqref="K91:K93">
    <cfRule type="cellIs" dxfId="302" priority="310" operator="equal">
      <formula>"Ignore"</formula>
    </cfRule>
  </conditionalFormatting>
  <conditionalFormatting sqref="K95:K102">
    <cfRule type="cellIs" dxfId="301" priority="303" operator="equal">
      <formula>"Ignore"</formula>
    </cfRule>
  </conditionalFormatting>
  <conditionalFormatting sqref="K108:K111">
    <cfRule type="cellIs" dxfId="300" priority="299" operator="equal">
      <formula>"Replace"</formula>
    </cfRule>
  </conditionalFormatting>
  <conditionalFormatting sqref="K108:K111">
    <cfRule type="cellIs" dxfId="299" priority="296" operator="equal">
      <formula>"Unknown"</formula>
    </cfRule>
  </conditionalFormatting>
  <conditionalFormatting sqref="K108:K111">
    <cfRule type="cellIs" dxfId="298" priority="297" operator="equal">
      <formula>"Good"</formula>
    </cfRule>
  </conditionalFormatting>
  <conditionalFormatting sqref="K108:K111">
    <cfRule type="cellIs" dxfId="297" priority="298" operator="equal">
      <formula>"Repair"</formula>
    </cfRule>
    <cfRule type="cellIs" dxfId="296" priority="301" operator="equal">
      <formula>"Dispose"</formula>
    </cfRule>
  </conditionalFormatting>
  <conditionalFormatting sqref="K108:K111">
    <cfRule type="cellIs" dxfId="295" priority="300" operator="equal">
      <formula>"Missing"</formula>
    </cfRule>
  </conditionalFormatting>
  <conditionalFormatting sqref="K108:K111">
    <cfRule type="cellIs" dxfId="294" priority="302" operator="equal">
      <formula>"Ignore"</formula>
    </cfRule>
  </conditionalFormatting>
  <conditionalFormatting sqref="K120:K126">
    <cfRule type="cellIs" dxfId="293" priority="292" operator="equal">
      <formula>"Replace"</formula>
    </cfRule>
  </conditionalFormatting>
  <conditionalFormatting sqref="K120:K126">
    <cfRule type="cellIs" dxfId="292" priority="289" operator="equal">
      <formula>"Unknown"</formula>
    </cfRule>
  </conditionalFormatting>
  <conditionalFormatting sqref="K120:K126">
    <cfRule type="cellIs" dxfId="291" priority="290" operator="equal">
      <formula>"Good"</formula>
    </cfRule>
  </conditionalFormatting>
  <conditionalFormatting sqref="K120:K126">
    <cfRule type="cellIs" dxfId="290" priority="291" operator="equal">
      <formula>"Repair"</formula>
    </cfRule>
    <cfRule type="cellIs" dxfId="289" priority="294" operator="equal">
      <formula>"Dispose"</formula>
    </cfRule>
  </conditionalFormatting>
  <conditionalFormatting sqref="K120:K126">
    <cfRule type="cellIs" dxfId="288" priority="293" operator="equal">
      <formula>"Missing"</formula>
    </cfRule>
  </conditionalFormatting>
  <conditionalFormatting sqref="K120:K126">
    <cfRule type="cellIs" dxfId="287" priority="295" operator="equal">
      <formula>"Ignore"</formula>
    </cfRule>
  </conditionalFormatting>
  <conditionalFormatting sqref="K128:K131">
    <cfRule type="cellIs" dxfId="286" priority="285" operator="equal">
      <formula>"Replace"</formula>
    </cfRule>
  </conditionalFormatting>
  <conditionalFormatting sqref="K128:K131">
    <cfRule type="cellIs" dxfId="285" priority="282" operator="equal">
      <formula>"Unknown"</formula>
    </cfRule>
  </conditionalFormatting>
  <conditionalFormatting sqref="K128:K131">
    <cfRule type="cellIs" dxfId="284" priority="283" operator="equal">
      <formula>"Good"</formula>
    </cfRule>
  </conditionalFormatting>
  <conditionalFormatting sqref="K128:K131">
    <cfRule type="cellIs" dxfId="283" priority="284" operator="equal">
      <formula>"Repair"</formula>
    </cfRule>
    <cfRule type="cellIs" dxfId="282" priority="287" operator="equal">
      <formula>"Dispose"</formula>
    </cfRule>
  </conditionalFormatting>
  <conditionalFormatting sqref="K128:K131">
    <cfRule type="cellIs" dxfId="281" priority="286" operator="equal">
      <formula>"Missing"</formula>
    </cfRule>
  </conditionalFormatting>
  <conditionalFormatting sqref="K128:K131">
    <cfRule type="cellIs" dxfId="280" priority="288" operator="equal">
      <formula>"Ignore"</formula>
    </cfRule>
  </conditionalFormatting>
  <conditionalFormatting sqref="K134:K145">
    <cfRule type="cellIs" dxfId="279" priority="278" operator="equal">
      <formula>"Replace"</formula>
    </cfRule>
  </conditionalFormatting>
  <conditionalFormatting sqref="K134:K145">
    <cfRule type="cellIs" dxfId="278" priority="275" operator="equal">
      <formula>"Unknown"</formula>
    </cfRule>
  </conditionalFormatting>
  <conditionalFormatting sqref="K134:K145">
    <cfRule type="cellIs" dxfId="277" priority="276" operator="equal">
      <formula>"Good"</formula>
    </cfRule>
  </conditionalFormatting>
  <conditionalFormatting sqref="K134:K145">
    <cfRule type="cellIs" dxfId="276" priority="277" operator="equal">
      <formula>"Repair"</formula>
    </cfRule>
    <cfRule type="cellIs" dxfId="275" priority="280" operator="equal">
      <formula>"Dispose"</formula>
    </cfRule>
  </conditionalFormatting>
  <conditionalFormatting sqref="K134:K145">
    <cfRule type="cellIs" dxfId="274" priority="279" operator="equal">
      <formula>"Missing"</formula>
    </cfRule>
  </conditionalFormatting>
  <conditionalFormatting sqref="K134:K145">
    <cfRule type="cellIs" dxfId="273" priority="281" operator="equal">
      <formula>"Ignore"</formula>
    </cfRule>
  </conditionalFormatting>
  <conditionalFormatting sqref="K148:K150">
    <cfRule type="cellIs" dxfId="272" priority="271" operator="equal">
      <formula>"Replace"</formula>
    </cfRule>
  </conditionalFormatting>
  <conditionalFormatting sqref="K148:K150">
    <cfRule type="cellIs" dxfId="271" priority="268" operator="equal">
      <formula>"Unknown"</formula>
    </cfRule>
  </conditionalFormatting>
  <conditionalFormatting sqref="K148:K150">
    <cfRule type="cellIs" dxfId="270" priority="269" operator="equal">
      <formula>"Good"</formula>
    </cfRule>
  </conditionalFormatting>
  <conditionalFormatting sqref="K148:K150">
    <cfRule type="cellIs" dxfId="269" priority="270" operator="equal">
      <formula>"Repair"</formula>
    </cfRule>
    <cfRule type="cellIs" dxfId="268" priority="273" operator="equal">
      <formula>"Dispose"</formula>
    </cfRule>
  </conditionalFormatting>
  <conditionalFormatting sqref="K148:K150">
    <cfRule type="cellIs" dxfId="267" priority="272" operator="equal">
      <formula>"Missing"</formula>
    </cfRule>
  </conditionalFormatting>
  <conditionalFormatting sqref="K148:K150">
    <cfRule type="cellIs" dxfId="266" priority="274" operator="equal">
      <formula>"Ignore"</formula>
    </cfRule>
  </conditionalFormatting>
  <conditionalFormatting sqref="K154:K156">
    <cfRule type="cellIs" dxfId="265" priority="264" operator="equal">
      <formula>"Replace"</formula>
    </cfRule>
  </conditionalFormatting>
  <conditionalFormatting sqref="K154:K156">
    <cfRule type="cellIs" dxfId="264" priority="261" operator="equal">
      <formula>"Unknown"</formula>
    </cfRule>
  </conditionalFormatting>
  <conditionalFormatting sqref="K154:K156">
    <cfRule type="cellIs" dxfId="263" priority="262" operator="equal">
      <formula>"Good"</formula>
    </cfRule>
  </conditionalFormatting>
  <conditionalFormatting sqref="K154:K156">
    <cfRule type="cellIs" dxfId="262" priority="263" operator="equal">
      <formula>"Repair"</formula>
    </cfRule>
    <cfRule type="cellIs" dxfId="261" priority="266" operator="equal">
      <formula>"Dispose"</formula>
    </cfRule>
  </conditionalFormatting>
  <conditionalFormatting sqref="K154:K156">
    <cfRule type="cellIs" dxfId="260" priority="265" operator="equal">
      <formula>"Missing"</formula>
    </cfRule>
  </conditionalFormatting>
  <conditionalFormatting sqref="K154:K156">
    <cfRule type="cellIs" dxfId="259" priority="267" operator="equal">
      <formula>"Ignore"</formula>
    </cfRule>
  </conditionalFormatting>
  <conditionalFormatting sqref="K158:K164">
    <cfRule type="cellIs" dxfId="258" priority="257" operator="equal">
      <formula>"Replace"</formula>
    </cfRule>
  </conditionalFormatting>
  <conditionalFormatting sqref="K158:K164">
    <cfRule type="cellIs" dxfId="257" priority="254" operator="equal">
      <formula>"Unknown"</formula>
    </cfRule>
  </conditionalFormatting>
  <conditionalFormatting sqref="K158:K164">
    <cfRule type="cellIs" dxfId="256" priority="255" operator="equal">
      <formula>"Good"</formula>
    </cfRule>
  </conditionalFormatting>
  <conditionalFormatting sqref="K158:K164">
    <cfRule type="cellIs" dxfId="255" priority="256" operator="equal">
      <formula>"Repair"</formula>
    </cfRule>
    <cfRule type="cellIs" dxfId="254" priority="259" operator="equal">
      <formula>"Dispose"</formula>
    </cfRule>
  </conditionalFormatting>
  <conditionalFormatting sqref="K158:K164">
    <cfRule type="cellIs" dxfId="253" priority="258" operator="equal">
      <formula>"Missing"</formula>
    </cfRule>
  </conditionalFormatting>
  <conditionalFormatting sqref="K158:K164">
    <cfRule type="cellIs" dxfId="252" priority="260" operator="equal">
      <formula>"Ignore"</formula>
    </cfRule>
  </conditionalFormatting>
  <conditionalFormatting sqref="K165">
    <cfRule type="cellIs" dxfId="251" priority="250" operator="equal">
      <formula>"Replace"</formula>
    </cfRule>
  </conditionalFormatting>
  <conditionalFormatting sqref="K165">
    <cfRule type="cellIs" dxfId="250" priority="247" operator="equal">
      <formula>"Unknown"</formula>
    </cfRule>
  </conditionalFormatting>
  <conditionalFormatting sqref="K165">
    <cfRule type="cellIs" dxfId="249" priority="248" operator="equal">
      <formula>"Good"</formula>
    </cfRule>
  </conditionalFormatting>
  <conditionalFormatting sqref="K165">
    <cfRule type="cellIs" dxfId="248" priority="249" operator="equal">
      <formula>"Repair"</formula>
    </cfRule>
    <cfRule type="cellIs" dxfId="247" priority="252" operator="equal">
      <formula>"Dispose"</formula>
    </cfRule>
  </conditionalFormatting>
  <conditionalFormatting sqref="K165">
    <cfRule type="cellIs" dxfId="246" priority="251" operator="equal">
      <formula>"Missing"</formula>
    </cfRule>
  </conditionalFormatting>
  <conditionalFormatting sqref="K165">
    <cfRule type="cellIs" dxfId="245" priority="253" operator="equal">
      <formula>"Ignore"</formula>
    </cfRule>
  </conditionalFormatting>
  <conditionalFormatting sqref="K171:K183">
    <cfRule type="cellIs" dxfId="244" priority="243" operator="equal">
      <formula>"Replace"</formula>
    </cfRule>
  </conditionalFormatting>
  <conditionalFormatting sqref="K171:K183">
    <cfRule type="cellIs" dxfId="243" priority="240" operator="equal">
      <formula>"Unknown"</formula>
    </cfRule>
  </conditionalFormatting>
  <conditionalFormatting sqref="K171:K183">
    <cfRule type="cellIs" dxfId="242" priority="241" operator="equal">
      <formula>"Good"</formula>
    </cfRule>
  </conditionalFormatting>
  <conditionalFormatting sqref="K171:K183">
    <cfRule type="cellIs" dxfId="241" priority="242" operator="equal">
      <formula>"Repair"</formula>
    </cfRule>
    <cfRule type="cellIs" dxfId="240" priority="245" operator="equal">
      <formula>"Dispose"</formula>
    </cfRule>
  </conditionalFormatting>
  <conditionalFormatting sqref="K171:K183">
    <cfRule type="cellIs" dxfId="239" priority="244" operator="equal">
      <formula>"Missing"</formula>
    </cfRule>
  </conditionalFormatting>
  <conditionalFormatting sqref="K171:K183">
    <cfRule type="cellIs" dxfId="238" priority="246" operator="equal">
      <formula>"Ignore"</formula>
    </cfRule>
  </conditionalFormatting>
  <conditionalFormatting sqref="K115">
    <cfRule type="cellIs" dxfId="237" priority="237" operator="equal">
      <formula>"Replace"</formula>
    </cfRule>
  </conditionalFormatting>
  <conditionalFormatting sqref="K115">
    <cfRule type="cellIs" dxfId="236" priority="234" operator="equal">
      <formula>"Unknown"</formula>
    </cfRule>
  </conditionalFormatting>
  <conditionalFormatting sqref="K115">
    <cfRule type="cellIs" dxfId="235" priority="235" operator="equal">
      <formula>"Good"</formula>
    </cfRule>
  </conditionalFormatting>
  <conditionalFormatting sqref="K115">
    <cfRule type="cellIs" dxfId="234" priority="236" operator="equal">
      <formula>"Repair"</formula>
    </cfRule>
    <cfRule type="cellIs" dxfId="233" priority="239" operator="equal">
      <formula>"Dispose"</formula>
    </cfRule>
  </conditionalFormatting>
  <conditionalFormatting sqref="K115">
    <cfRule type="cellIs" dxfId="232" priority="238" operator="equal">
      <formula>"Missing"</formula>
    </cfRule>
  </conditionalFormatting>
  <conditionalFormatting sqref="K115">
    <cfRule type="cellIs" dxfId="231" priority="233" operator="equal">
      <formula>"Ignore"</formula>
    </cfRule>
  </conditionalFormatting>
  <conditionalFormatting sqref="K116">
    <cfRule type="cellIs" dxfId="230" priority="230" operator="equal">
      <formula>"Replace"</formula>
    </cfRule>
  </conditionalFormatting>
  <conditionalFormatting sqref="K116">
    <cfRule type="cellIs" dxfId="229" priority="227" operator="equal">
      <formula>"Unknown"</formula>
    </cfRule>
  </conditionalFormatting>
  <conditionalFormatting sqref="K116">
    <cfRule type="cellIs" dxfId="228" priority="228" operator="equal">
      <formula>"Good"</formula>
    </cfRule>
  </conditionalFormatting>
  <conditionalFormatting sqref="K116">
    <cfRule type="cellIs" dxfId="227" priority="229" operator="equal">
      <formula>"Repair"</formula>
    </cfRule>
    <cfRule type="cellIs" dxfId="226" priority="232" operator="equal">
      <formula>"Dispose"</formula>
    </cfRule>
  </conditionalFormatting>
  <conditionalFormatting sqref="K116">
    <cfRule type="cellIs" dxfId="225" priority="231" operator="equal">
      <formula>"Missing"</formula>
    </cfRule>
  </conditionalFormatting>
  <conditionalFormatting sqref="K116">
    <cfRule type="cellIs" dxfId="224" priority="226" operator="equal">
      <formula>"Ignore"</formula>
    </cfRule>
  </conditionalFormatting>
  <conditionalFormatting sqref="K117">
    <cfRule type="cellIs" dxfId="223" priority="223" operator="equal">
      <formula>"Replace"</formula>
    </cfRule>
  </conditionalFormatting>
  <conditionalFormatting sqref="K117">
    <cfRule type="cellIs" dxfId="222" priority="220" operator="equal">
      <formula>"Unknown"</formula>
    </cfRule>
  </conditionalFormatting>
  <conditionalFormatting sqref="K117">
    <cfRule type="cellIs" dxfId="221" priority="221" operator="equal">
      <formula>"Good"</formula>
    </cfRule>
  </conditionalFormatting>
  <conditionalFormatting sqref="K117">
    <cfRule type="cellIs" dxfId="220" priority="222" operator="equal">
      <formula>"Repair"</formula>
    </cfRule>
    <cfRule type="cellIs" dxfId="219" priority="225" operator="equal">
      <formula>"Dispose"</formula>
    </cfRule>
  </conditionalFormatting>
  <conditionalFormatting sqref="K117">
    <cfRule type="cellIs" dxfId="218" priority="224" operator="equal">
      <formula>"Missing"</formula>
    </cfRule>
  </conditionalFormatting>
  <conditionalFormatting sqref="K117">
    <cfRule type="cellIs" dxfId="217" priority="219" operator="equal">
      <formula>"Ignore"</formula>
    </cfRule>
  </conditionalFormatting>
  <conditionalFormatting sqref="K118">
    <cfRule type="cellIs" dxfId="216" priority="216" operator="equal">
      <formula>"Replace"</formula>
    </cfRule>
  </conditionalFormatting>
  <conditionalFormatting sqref="K118">
    <cfRule type="cellIs" dxfId="215" priority="213" operator="equal">
      <formula>"Unknown"</formula>
    </cfRule>
  </conditionalFormatting>
  <conditionalFormatting sqref="K118">
    <cfRule type="cellIs" dxfId="214" priority="214" operator="equal">
      <formula>"Good"</formula>
    </cfRule>
  </conditionalFormatting>
  <conditionalFormatting sqref="K118">
    <cfRule type="cellIs" dxfId="213" priority="215" operator="equal">
      <formula>"Repair"</formula>
    </cfRule>
    <cfRule type="cellIs" dxfId="212" priority="218" operator="equal">
      <formula>"Dispose"</formula>
    </cfRule>
  </conditionalFormatting>
  <conditionalFormatting sqref="K118">
    <cfRule type="cellIs" dxfId="211" priority="217" operator="equal">
      <formula>"Missing"</formula>
    </cfRule>
  </conditionalFormatting>
  <conditionalFormatting sqref="K118">
    <cfRule type="cellIs" dxfId="210" priority="212" operator="equal">
      <formula>"Ignore"</formula>
    </cfRule>
  </conditionalFormatting>
  <conditionalFormatting sqref="K2:K5">
    <cfRule type="cellIs" dxfId="209" priority="203" operator="equal">
      <formula>"Unknown"</formula>
    </cfRule>
    <cfRule type="cellIs" dxfId="208" priority="204" operator="equal">
      <formula>"Good"</formula>
    </cfRule>
    <cfRule type="cellIs" dxfId="207" priority="205" operator="equal">
      <formula>"Repair"</formula>
    </cfRule>
    <cfRule type="cellIs" dxfId="206" priority="206" operator="equal">
      <formula>"Replace"</formula>
    </cfRule>
    <cfRule type="cellIs" dxfId="205" priority="207" operator="equal">
      <formula>"Improve"</formula>
    </cfRule>
    <cfRule type="cellIs" dxfId="204" priority="208" operator="equal">
      <formula>"Missing"</formula>
    </cfRule>
    <cfRule type="cellIs" dxfId="203" priority="209" operator="equal">
      <formula>"Dispose"</formula>
    </cfRule>
    <cfRule type="cellIs" dxfId="202" priority="210" operator="equal">
      <formula>"Ignore"</formula>
    </cfRule>
  </conditionalFormatting>
  <conditionalFormatting sqref="K111">
    <cfRule type="cellIs" dxfId="201" priority="200" operator="equal">
      <formula>"Replace"</formula>
    </cfRule>
  </conditionalFormatting>
  <conditionalFormatting sqref="K111">
    <cfRule type="cellIs" dxfId="200" priority="197" operator="equal">
      <formula>"Unknown"</formula>
    </cfRule>
  </conditionalFormatting>
  <conditionalFormatting sqref="K111">
    <cfRule type="cellIs" dxfId="199" priority="198" operator="equal">
      <formula>"Good"</formula>
    </cfRule>
  </conditionalFormatting>
  <conditionalFormatting sqref="K111">
    <cfRule type="cellIs" dxfId="198" priority="199" operator="equal">
      <formula>"Repair"</formula>
    </cfRule>
    <cfRule type="cellIs" dxfId="197" priority="202" operator="equal">
      <formula>"Dispose"</formula>
    </cfRule>
  </conditionalFormatting>
  <conditionalFormatting sqref="K111">
    <cfRule type="cellIs" dxfId="196" priority="201" operator="equal">
      <formula>"Missing"</formula>
    </cfRule>
  </conditionalFormatting>
  <conditionalFormatting sqref="K111">
    <cfRule type="cellIs" dxfId="195" priority="196" operator="equal">
      <formula>"Ignore"</formula>
    </cfRule>
  </conditionalFormatting>
  <conditionalFormatting sqref="K110">
    <cfRule type="cellIs" dxfId="194" priority="193" operator="equal">
      <formula>"Replace"</formula>
    </cfRule>
  </conditionalFormatting>
  <conditionalFormatting sqref="K110">
    <cfRule type="cellIs" dxfId="193" priority="190" operator="equal">
      <formula>"Unknown"</formula>
    </cfRule>
  </conditionalFormatting>
  <conditionalFormatting sqref="K110">
    <cfRule type="cellIs" dxfId="192" priority="191" operator="equal">
      <formula>"Good"</formula>
    </cfRule>
  </conditionalFormatting>
  <conditionalFormatting sqref="K110">
    <cfRule type="cellIs" dxfId="191" priority="192" operator="equal">
      <formula>"Repair"</formula>
    </cfRule>
    <cfRule type="cellIs" dxfId="190" priority="195" operator="equal">
      <formula>"Dispose"</formula>
    </cfRule>
  </conditionalFormatting>
  <conditionalFormatting sqref="K110">
    <cfRule type="cellIs" dxfId="189" priority="194" operator="equal">
      <formula>"Missing"</formula>
    </cfRule>
  </conditionalFormatting>
  <conditionalFormatting sqref="K110">
    <cfRule type="cellIs" dxfId="188" priority="189" operator="equal">
      <formula>"Ignore"</formula>
    </cfRule>
  </conditionalFormatting>
  <conditionalFormatting sqref="K59:K60">
    <cfRule type="cellIs" dxfId="187" priority="181" operator="equal">
      <formula>"Unknown"</formula>
    </cfRule>
    <cfRule type="cellIs" dxfId="186" priority="182" operator="equal">
      <formula>"Good"</formula>
    </cfRule>
    <cfRule type="cellIs" dxfId="185" priority="183" operator="equal">
      <formula>"Repair"</formula>
    </cfRule>
    <cfRule type="cellIs" dxfId="184" priority="184" operator="equal">
      <formula>"Replace"</formula>
    </cfRule>
    <cfRule type="cellIs" dxfId="183" priority="185" operator="equal">
      <formula>"Improve"</formula>
    </cfRule>
    <cfRule type="cellIs" dxfId="182" priority="186" operator="equal">
      <formula>"Missing"</formula>
    </cfRule>
    <cfRule type="cellIs" dxfId="181" priority="187" operator="equal">
      <formula>"Dispose"</formula>
    </cfRule>
    <cfRule type="cellIs" dxfId="180" priority="188" operator="equal">
      <formula>"Ignore"</formula>
    </cfRule>
  </conditionalFormatting>
  <conditionalFormatting sqref="K135">
    <cfRule type="cellIs" dxfId="179" priority="180" operator="equal">
      <formula>"Ignore"</formula>
    </cfRule>
  </conditionalFormatting>
  <conditionalFormatting sqref="K46">
    <cfRule type="cellIs" dxfId="178" priority="179" operator="equal">
      <formula>"Ignore"</formula>
    </cfRule>
  </conditionalFormatting>
  <conditionalFormatting sqref="K47">
    <cfRule type="cellIs" dxfId="177" priority="178" operator="equal">
      <formula>"Ignore"</formula>
    </cfRule>
  </conditionalFormatting>
  <conditionalFormatting sqref="K48">
    <cfRule type="cellIs" dxfId="176" priority="177" operator="equal">
      <formula>"Ignore"</formula>
    </cfRule>
  </conditionalFormatting>
  <conditionalFormatting sqref="K44">
    <cfRule type="cellIs" dxfId="175" priority="176" operator="equal">
      <formula>"Ignore"</formula>
    </cfRule>
  </conditionalFormatting>
  <conditionalFormatting sqref="K45">
    <cfRule type="cellIs" dxfId="174" priority="175" operator="equal">
      <formula>"Ignore"</formula>
    </cfRule>
  </conditionalFormatting>
  <conditionalFormatting sqref="K148">
    <cfRule type="cellIs" dxfId="173" priority="174" operator="equal">
      <formula>"Ignore"</formula>
    </cfRule>
  </conditionalFormatting>
  <conditionalFormatting sqref="K149">
    <cfRule type="cellIs" dxfId="172" priority="173" operator="equal">
      <formula>"Ignore"</formula>
    </cfRule>
  </conditionalFormatting>
  <conditionalFormatting sqref="K16">
    <cfRule type="cellIs" dxfId="171" priority="165" operator="equal">
      <formula>"Unknown"</formula>
    </cfRule>
    <cfRule type="cellIs" dxfId="170" priority="166" operator="equal">
      <formula>"Good"</formula>
    </cfRule>
    <cfRule type="cellIs" dxfId="169" priority="167" operator="equal">
      <formula>"Repair"</formula>
    </cfRule>
    <cfRule type="cellIs" dxfId="168" priority="168" operator="equal">
      <formula>"Replace"</formula>
    </cfRule>
    <cfRule type="cellIs" dxfId="167" priority="169" operator="equal">
      <formula>"Improve"</formula>
    </cfRule>
    <cfRule type="cellIs" dxfId="166" priority="170" operator="equal">
      <formula>"Missing"</formula>
    </cfRule>
    <cfRule type="cellIs" dxfId="165" priority="171" operator="equal">
      <formula>"Dispose"</formula>
    </cfRule>
    <cfRule type="cellIs" dxfId="164" priority="172" operator="equal">
      <formula>"Ignore"</formula>
    </cfRule>
  </conditionalFormatting>
  <conditionalFormatting sqref="K17">
    <cfRule type="cellIs" dxfId="163" priority="157" operator="equal">
      <formula>"Unknown"</formula>
    </cfRule>
    <cfRule type="cellIs" dxfId="162" priority="158" operator="equal">
      <formula>"Good"</formula>
    </cfRule>
    <cfRule type="cellIs" dxfId="161" priority="159" operator="equal">
      <formula>"Repair"</formula>
    </cfRule>
    <cfRule type="cellIs" dxfId="160" priority="160" operator="equal">
      <formula>"Replace"</formula>
    </cfRule>
    <cfRule type="cellIs" dxfId="159" priority="161" operator="equal">
      <formula>"Improve"</formula>
    </cfRule>
    <cfRule type="cellIs" dxfId="158" priority="162" operator="equal">
      <formula>"Missing"</formula>
    </cfRule>
    <cfRule type="cellIs" dxfId="157" priority="163" operator="equal">
      <formula>"Dispose"</formula>
    </cfRule>
    <cfRule type="cellIs" dxfId="156" priority="164" operator="equal">
      <formula>"Ignore"</formula>
    </cfRule>
  </conditionalFormatting>
  <conditionalFormatting sqref="K18">
    <cfRule type="cellIs" dxfId="155" priority="149" operator="equal">
      <formula>"Unknown"</formula>
    </cfRule>
    <cfRule type="cellIs" dxfId="154" priority="150" operator="equal">
      <formula>"Good"</formula>
    </cfRule>
    <cfRule type="cellIs" dxfId="153" priority="151" operator="equal">
      <formula>"Repair"</formula>
    </cfRule>
    <cfRule type="cellIs" dxfId="152" priority="152" operator="equal">
      <formula>"Replace"</formula>
    </cfRule>
    <cfRule type="cellIs" dxfId="151" priority="153" operator="equal">
      <formula>"Improve"</formula>
    </cfRule>
    <cfRule type="cellIs" dxfId="150" priority="154" operator="equal">
      <formula>"Missing"</formula>
    </cfRule>
    <cfRule type="cellIs" dxfId="149" priority="155" operator="equal">
      <formula>"Dispose"</formula>
    </cfRule>
    <cfRule type="cellIs" dxfId="148" priority="156" operator="equal">
      <formula>"Ignore"</formula>
    </cfRule>
  </conditionalFormatting>
  <conditionalFormatting sqref="K19">
    <cfRule type="cellIs" dxfId="147" priority="141" operator="equal">
      <formula>"Unknown"</formula>
    </cfRule>
    <cfRule type="cellIs" dxfId="146" priority="142" operator="equal">
      <formula>"Good"</formula>
    </cfRule>
    <cfRule type="cellIs" dxfId="145" priority="143" operator="equal">
      <formula>"Repair"</formula>
    </cfRule>
    <cfRule type="cellIs" dxfId="144" priority="144" operator="equal">
      <formula>"Replace"</formula>
    </cfRule>
    <cfRule type="cellIs" dxfId="143" priority="145" operator="equal">
      <formula>"Improve"</formula>
    </cfRule>
    <cfRule type="cellIs" dxfId="142" priority="146" operator="equal">
      <formula>"Missing"</formula>
    </cfRule>
    <cfRule type="cellIs" dxfId="141" priority="147" operator="equal">
      <formula>"Dispose"</formula>
    </cfRule>
    <cfRule type="cellIs" dxfId="140" priority="148" operator="equal">
      <formula>"Ignore"</formula>
    </cfRule>
  </conditionalFormatting>
  <conditionalFormatting sqref="K21">
    <cfRule type="cellIs" dxfId="139" priority="133" operator="equal">
      <formula>"Unknown"</formula>
    </cfRule>
    <cfRule type="cellIs" dxfId="138" priority="134" operator="equal">
      <formula>"Good"</formula>
    </cfRule>
    <cfRule type="cellIs" dxfId="137" priority="135" operator="equal">
      <formula>"Repair"</formula>
    </cfRule>
    <cfRule type="cellIs" dxfId="136" priority="136" operator="equal">
      <formula>"Replace"</formula>
    </cfRule>
    <cfRule type="cellIs" dxfId="135" priority="137" operator="equal">
      <formula>"Improve"</formula>
    </cfRule>
    <cfRule type="cellIs" dxfId="134" priority="138" operator="equal">
      <formula>"Missing"</formula>
    </cfRule>
    <cfRule type="cellIs" dxfId="133" priority="139" operator="equal">
      <formula>"Dispose"</formula>
    </cfRule>
    <cfRule type="cellIs" dxfId="132" priority="140" operator="equal">
      <formula>"Ignore"</formula>
    </cfRule>
  </conditionalFormatting>
  <conditionalFormatting sqref="K25">
    <cfRule type="cellIs" dxfId="131" priority="125" operator="equal">
      <formula>"Unknown"</formula>
    </cfRule>
    <cfRule type="cellIs" dxfId="130" priority="126" operator="equal">
      <formula>"Good"</formula>
    </cfRule>
    <cfRule type="cellIs" dxfId="129" priority="127" operator="equal">
      <formula>"Repair"</formula>
    </cfRule>
    <cfRule type="cellIs" dxfId="128" priority="128" operator="equal">
      <formula>"Replace"</formula>
    </cfRule>
    <cfRule type="cellIs" dxfId="127" priority="129" operator="equal">
      <formula>"Improve"</formula>
    </cfRule>
    <cfRule type="cellIs" dxfId="126" priority="130" operator="equal">
      <formula>"Missing"</formula>
    </cfRule>
    <cfRule type="cellIs" dxfId="125" priority="131" operator="equal">
      <formula>"Dispose"</formula>
    </cfRule>
    <cfRule type="cellIs" dxfId="124" priority="132" operator="equal">
      <formula>"Ignore"</formula>
    </cfRule>
  </conditionalFormatting>
  <conditionalFormatting sqref="K26">
    <cfRule type="cellIs" dxfId="123" priority="117" operator="equal">
      <formula>"Unknown"</formula>
    </cfRule>
    <cfRule type="cellIs" dxfId="122" priority="118" operator="equal">
      <formula>"Good"</formula>
    </cfRule>
    <cfRule type="cellIs" dxfId="121" priority="119" operator="equal">
      <formula>"Repair"</formula>
    </cfRule>
    <cfRule type="cellIs" dxfId="120" priority="120" operator="equal">
      <formula>"Replace"</formula>
    </cfRule>
    <cfRule type="cellIs" dxfId="119" priority="121" operator="equal">
      <formula>"Improve"</formula>
    </cfRule>
    <cfRule type="cellIs" dxfId="118" priority="122" operator="equal">
      <formula>"Missing"</formula>
    </cfRule>
    <cfRule type="cellIs" dxfId="117" priority="123" operator="equal">
      <formula>"Dispose"</formula>
    </cfRule>
    <cfRule type="cellIs" dxfId="116" priority="124" operator="equal">
      <formula>"Ignore"</formula>
    </cfRule>
  </conditionalFormatting>
  <conditionalFormatting sqref="K27">
    <cfRule type="cellIs" dxfId="115" priority="109" operator="equal">
      <formula>"Unknown"</formula>
    </cfRule>
    <cfRule type="cellIs" dxfId="114" priority="110" operator="equal">
      <formula>"Good"</formula>
    </cfRule>
    <cfRule type="cellIs" dxfId="113" priority="111" operator="equal">
      <formula>"Repair"</formula>
    </cfRule>
    <cfRule type="cellIs" dxfId="112" priority="112" operator="equal">
      <formula>"Replace"</formula>
    </cfRule>
    <cfRule type="cellIs" dxfId="111" priority="113" operator="equal">
      <formula>"Improve"</formula>
    </cfRule>
    <cfRule type="cellIs" dxfId="110" priority="114" operator="equal">
      <formula>"Missing"</formula>
    </cfRule>
    <cfRule type="cellIs" dxfId="109" priority="115" operator="equal">
      <formula>"Dispose"</formula>
    </cfRule>
    <cfRule type="cellIs" dxfId="108" priority="116" operator="equal">
      <formula>"Ignore"</formula>
    </cfRule>
  </conditionalFormatting>
  <conditionalFormatting sqref="K28">
    <cfRule type="cellIs" dxfId="107" priority="101" operator="equal">
      <formula>"Unknown"</formula>
    </cfRule>
    <cfRule type="cellIs" dxfId="106" priority="102" operator="equal">
      <formula>"Good"</formula>
    </cfRule>
    <cfRule type="cellIs" dxfId="105" priority="103" operator="equal">
      <formula>"Repair"</formula>
    </cfRule>
    <cfRule type="cellIs" dxfId="104" priority="104" operator="equal">
      <formula>"Replace"</formula>
    </cfRule>
    <cfRule type="cellIs" dxfId="103" priority="105" operator="equal">
      <formula>"Improve"</formula>
    </cfRule>
    <cfRule type="cellIs" dxfId="102" priority="106" operator="equal">
      <formula>"Missing"</formula>
    </cfRule>
    <cfRule type="cellIs" dxfId="101" priority="107" operator="equal">
      <formula>"Dispose"</formula>
    </cfRule>
    <cfRule type="cellIs" dxfId="100" priority="108" operator="equal">
      <formula>"Ignore"</formula>
    </cfRule>
  </conditionalFormatting>
  <conditionalFormatting sqref="K43">
    <cfRule type="cellIs" dxfId="99" priority="93" operator="equal">
      <formula>"Unknown"</formula>
    </cfRule>
    <cfRule type="cellIs" dxfId="98" priority="94" operator="equal">
      <formula>"Good"</formula>
    </cfRule>
    <cfRule type="cellIs" dxfId="97" priority="95" operator="equal">
      <formula>"Repair"</formula>
    </cfRule>
    <cfRule type="cellIs" dxfId="96" priority="96" operator="equal">
      <formula>"Replace"</formula>
    </cfRule>
    <cfRule type="cellIs" dxfId="95" priority="97" operator="equal">
      <formula>"Improve"</formula>
    </cfRule>
    <cfRule type="cellIs" dxfId="94" priority="98" operator="equal">
      <formula>"Missing"</formula>
    </cfRule>
    <cfRule type="cellIs" dxfId="93" priority="99" operator="equal">
      <formula>"Dispose"</formula>
    </cfRule>
    <cfRule type="cellIs" dxfId="92" priority="100" operator="equal">
      <formula>"Ignore"</formula>
    </cfRule>
  </conditionalFormatting>
  <conditionalFormatting sqref="K65">
    <cfRule type="cellIs" dxfId="91" priority="85" operator="equal">
      <formula>"Unknown"</formula>
    </cfRule>
    <cfRule type="cellIs" dxfId="90" priority="86" operator="equal">
      <formula>"Good"</formula>
    </cfRule>
    <cfRule type="cellIs" dxfId="89" priority="87" operator="equal">
      <formula>"Repair"</formula>
    </cfRule>
    <cfRule type="cellIs" dxfId="88" priority="88" operator="equal">
      <formula>"Replace"</formula>
    </cfRule>
    <cfRule type="cellIs" dxfId="87" priority="89" operator="equal">
      <formula>"Improve"</formula>
    </cfRule>
    <cfRule type="cellIs" dxfId="86" priority="90" operator="equal">
      <formula>"Missing"</formula>
    </cfRule>
    <cfRule type="cellIs" dxfId="85" priority="91" operator="equal">
      <formula>"Dispose"</formula>
    </cfRule>
    <cfRule type="cellIs" dxfId="84" priority="92" operator="equal">
      <formula>"Ignore"</formula>
    </cfRule>
  </conditionalFormatting>
  <conditionalFormatting sqref="K66">
    <cfRule type="cellIs" dxfId="83" priority="77" operator="equal">
      <formula>"Unknown"</formula>
    </cfRule>
    <cfRule type="cellIs" dxfId="82" priority="78" operator="equal">
      <formula>"Good"</formula>
    </cfRule>
    <cfRule type="cellIs" dxfId="81" priority="79" operator="equal">
      <formula>"Repair"</formula>
    </cfRule>
    <cfRule type="cellIs" dxfId="80" priority="80" operator="equal">
      <formula>"Replace"</formula>
    </cfRule>
    <cfRule type="cellIs" dxfId="79" priority="81" operator="equal">
      <formula>"Improve"</formula>
    </cfRule>
    <cfRule type="cellIs" dxfId="78" priority="82" operator="equal">
      <formula>"Missing"</formula>
    </cfRule>
    <cfRule type="cellIs" dxfId="77" priority="83" operator="equal">
      <formula>"Dispose"</formula>
    </cfRule>
    <cfRule type="cellIs" dxfId="76" priority="84" operator="equal">
      <formula>"Ignore"</formula>
    </cfRule>
  </conditionalFormatting>
  <conditionalFormatting sqref="K7">
    <cfRule type="cellIs" dxfId="75" priority="69" operator="equal">
      <formula>"Unknown"</formula>
    </cfRule>
    <cfRule type="cellIs" dxfId="74" priority="70" operator="equal">
      <formula>"Good"</formula>
    </cfRule>
    <cfRule type="cellIs" dxfId="73" priority="71" operator="equal">
      <formula>"Repair"</formula>
    </cfRule>
    <cfRule type="cellIs" dxfId="72" priority="72" operator="equal">
      <formula>"Replace"</formula>
    </cfRule>
    <cfRule type="cellIs" dxfId="71" priority="73" operator="equal">
      <formula>"Improve"</formula>
    </cfRule>
    <cfRule type="cellIs" dxfId="70" priority="74" operator="equal">
      <formula>"Missing"</formula>
    </cfRule>
    <cfRule type="cellIs" dxfId="69" priority="75" operator="equal">
      <formula>"Dispose"</formula>
    </cfRule>
    <cfRule type="cellIs" dxfId="68" priority="76" operator="equal">
      <formula>"Ignore"</formula>
    </cfRule>
  </conditionalFormatting>
  <conditionalFormatting sqref="K158">
    <cfRule type="cellIs" dxfId="67" priority="65" operator="equal">
      <formula>"Replace"</formula>
    </cfRule>
  </conditionalFormatting>
  <conditionalFormatting sqref="K158">
    <cfRule type="cellIs" dxfId="66" priority="62" operator="equal">
      <formula>"Unknown"</formula>
    </cfRule>
  </conditionalFormatting>
  <conditionalFormatting sqref="K158">
    <cfRule type="cellIs" dxfId="65" priority="63" operator="equal">
      <formula>"Good"</formula>
    </cfRule>
  </conditionalFormatting>
  <conditionalFormatting sqref="K158">
    <cfRule type="cellIs" dxfId="64" priority="64" operator="equal">
      <formula>"Repair"</formula>
    </cfRule>
    <cfRule type="cellIs" dxfId="63" priority="67" operator="equal">
      <formula>"Dispose"</formula>
    </cfRule>
  </conditionalFormatting>
  <conditionalFormatting sqref="K158">
    <cfRule type="cellIs" dxfId="62" priority="66" operator="equal">
      <formula>"Missing"</formula>
    </cfRule>
  </conditionalFormatting>
  <conditionalFormatting sqref="K158">
    <cfRule type="cellIs" dxfId="61" priority="68" operator="equal">
      <formula>"Ignore"</formula>
    </cfRule>
  </conditionalFormatting>
  <conditionalFormatting sqref="K159">
    <cfRule type="cellIs" dxfId="60" priority="58" operator="equal">
      <formula>"Replace"</formula>
    </cfRule>
  </conditionalFormatting>
  <conditionalFormatting sqref="K159">
    <cfRule type="cellIs" dxfId="59" priority="55" operator="equal">
      <formula>"Unknown"</formula>
    </cfRule>
  </conditionalFormatting>
  <conditionalFormatting sqref="K159">
    <cfRule type="cellIs" dxfId="58" priority="56" operator="equal">
      <formula>"Good"</formula>
    </cfRule>
  </conditionalFormatting>
  <conditionalFormatting sqref="K159">
    <cfRule type="cellIs" dxfId="57" priority="57" operator="equal">
      <formula>"Repair"</formula>
    </cfRule>
    <cfRule type="cellIs" dxfId="56" priority="60" operator="equal">
      <formula>"Dispose"</formula>
    </cfRule>
  </conditionalFormatting>
  <conditionalFormatting sqref="K159">
    <cfRule type="cellIs" dxfId="55" priority="59" operator="equal">
      <formula>"Missing"</formula>
    </cfRule>
  </conditionalFormatting>
  <conditionalFormatting sqref="K159">
    <cfRule type="cellIs" dxfId="54" priority="61" operator="equal">
      <formula>"Ignore"</formula>
    </cfRule>
  </conditionalFormatting>
  <conditionalFormatting sqref="K160">
    <cfRule type="cellIs" dxfId="53" priority="51" operator="equal">
      <formula>"Replace"</formula>
    </cfRule>
  </conditionalFormatting>
  <conditionalFormatting sqref="K160">
    <cfRule type="cellIs" dxfId="52" priority="48" operator="equal">
      <formula>"Unknown"</formula>
    </cfRule>
  </conditionalFormatting>
  <conditionalFormatting sqref="K160">
    <cfRule type="cellIs" dxfId="51" priority="49" operator="equal">
      <formula>"Good"</formula>
    </cfRule>
  </conditionalFormatting>
  <conditionalFormatting sqref="K160">
    <cfRule type="cellIs" dxfId="50" priority="50" operator="equal">
      <formula>"Repair"</formula>
    </cfRule>
    <cfRule type="cellIs" dxfId="49" priority="53" operator="equal">
      <formula>"Dispose"</formula>
    </cfRule>
  </conditionalFormatting>
  <conditionalFormatting sqref="K160">
    <cfRule type="cellIs" dxfId="48" priority="52" operator="equal">
      <formula>"Missing"</formula>
    </cfRule>
  </conditionalFormatting>
  <conditionalFormatting sqref="K160">
    <cfRule type="cellIs" dxfId="47" priority="54" operator="equal">
      <formula>"Ignore"</formula>
    </cfRule>
  </conditionalFormatting>
  <conditionalFormatting sqref="K161">
    <cfRule type="cellIs" dxfId="46" priority="44" operator="equal">
      <formula>"Replace"</formula>
    </cfRule>
  </conditionalFormatting>
  <conditionalFormatting sqref="K161">
    <cfRule type="cellIs" dxfId="45" priority="41" operator="equal">
      <formula>"Unknown"</formula>
    </cfRule>
  </conditionalFormatting>
  <conditionalFormatting sqref="K161">
    <cfRule type="cellIs" dxfId="44" priority="42" operator="equal">
      <formula>"Good"</formula>
    </cfRule>
  </conditionalFormatting>
  <conditionalFormatting sqref="K161">
    <cfRule type="cellIs" dxfId="43" priority="43" operator="equal">
      <formula>"Repair"</formula>
    </cfRule>
    <cfRule type="cellIs" dxfId="42" priority="46" operator="equal">
      <formula>"Dispose"</formula>
    </cfRule>
  </conditionalFormatting>
  <conditionalFormatting sqref="K161">
    <cfRule type="cellIs" dxfId="41" priority="45" operator="equal">
      <formula>"Missing"</formula>
    </cfRule>
  </conditionalFormatting>
  <conditionalFormatting sqref="K161">
    <cfRule type="cellIs" dxfId="40" priority="47" operator="equal">
      <formula>"Ignore"</formula>
    </cfRule>
  </conditionalFormatting>
  <conditionalFormatting sqref="K162">
    <cfRule type="cellIs" dxfId="39" priority="37" operator="equal">
      <formula>"Replace"</formula>
    </cfRule>
  </conditionalFormatting>
  <conditionalFormatting sqref="K162">
    <cfRule type="cellIs" dxfId="38" priority="34" operator="equal">
      <formula>"Unknown"</formula>
    </cfRule>
  </conditionalFormatting>
  <conditionalFormatting sqref="K162">
    <cfRule type="cellIs" dxfId="37" priority="35" operator="equal">
      <formula>"Good"</formula>
    </cfRule>
  </conditionalFormatting>
  <conditionalFormatting sqref="K162">
    <cfRule type="cellIs" dxfId="36" priority="36" operator="equal">
      <formula>"Repair"</formula>
    </cfRule>
    <cfRule type="cellIs" dxfId="35" priority="39" operator="equal">
      <formula>"Dispose"</formula>
    </cfRule>
  </conditionalFormatting>
  <conditionalFormatting sqref="K162">
    <cfRule type="cellIs" dxfId="34" priority="38" operator="equal">
      <formula>"Missing"</formula>
    </cfRule>
  </conditionalFormatting>
  <conditionalFormatting sqref="K162">
    <cfRule type="cellIs" dxfId="33" priority="40" operator="equal">
      <formula>"Ignore"</formula>
    </cfRule>
  </conditionalFormatting>
  <conditionalFormatting sqref="K163">
    <cfRule type="cellIs" dxfId="32" priority="30" operator="equal">
      <formula>"Replace"</formula>
    </cfRule>
  </conditionalFormatting>
  <conditionalFormatting sqref="K163">
    <cfRule type="cellIs" dxfId="31" priority="27" operator="equal">
      <formula>"Unknown"</formula>
    </cfRule>
  </conditionalFormatting>
  <conditionalFormatting sqref="K163">
    <cfRule type="cellIs" dxfId="30" priority="28" operator="equal">
      <formula>"Good"</formula>
    </cfRule>
  </conditionalFormatting>
  <conditionalFormatting sqref="K163">
    <cfRule type="cellIs" dxfId="29" priority="29" operator="equal">
      <formula>"Repair"</formula>
    </cfRule>
    <cfRule type="cellIs" dxfId="28" priority="32" operator="equal">
      <formula>"Dispose"</formula>
    </cfRule>
  </conditionalFormatting>
  <conditionalFormatting sqref="K163">
    <cfRule type="cellIs" dxfId="27" priority="31" operator="equal">
      <formula>"Missing"</formula>
    </cfRule>
  </conditionalFormatting>
  <conditionalFormatting sqref="K163">
    <cfRule type="cellIs" dxfId="26" priority="33" operator="equal">
      <formula>"Ignore"</formula>
    </cfRule>
  </conditionalFormatting>
  <conditionalFormatting sqref="K165">
    <cfRule type="cellIs" dxfId="25" priority="23" operator="equal">
      <formula>"Replace"</formula>
    </cfRule>
  </conditionalFormatting>
  <conditionalFormatting sqref="K165">
    <cfRule type="cellIs" dxfId="24" priority="20" operator="equal">
      <formula>"Unknown"</formula>
    </cfRule>
  </conditionalFormatting>
  <conditionalFormatting sqref="K165">
    <cfRule type="cellIs" dxfId="23" priority="21" operator="equal">
      <formula>"Good"</formula>
    </cfRule>
  </conditionalFormatting>
  <conditionalFormatting sqref="K165">
    <cfRule type="cellIs" dxfId="22" priority="22" operator="equal">
      <formula>"Repair"</formula>
    </cfRule>
    <cfRule type="cellIs" dxfId="21" priority="25" operator="equal">
      <formula>"Dispose"</formula>
    </cfRule>
  </conditionalFormatting>
  <conditionalFormatting sqref="K165">
    <cfRule type="cellIs" dxfId="20" priority="24" operator="equal">
      <formula>"Missing"</formula>
    </cfRule>
  </conditionalFormatting>
  <conditionalFormatting sqref="K165">
    <cfRule type="cellIs" dxfId="19" priority="26" operator="equal">
      <formula>"Ignore"</formula>
    </cfRule>
  </conditionalFormatting>
  <conditionalFormatting sqref="N25:N28">
    <cfRule type="cellIs" dxfId="18" priority="19" operator="equal">
      <formula>"REQUIRED"</formula>
    </cfRule>
  </conditionalFormatting>
  <conditionalFormatting sqref="N30:N50">
    <cfRule type="cellIs" dxfId="17" priority="18" operator="equal">
      <formula>"REQUIRED"</formula>
    </cfRule>
  </conditionalFormatting>
  <conditionalFormatting sqref="N54:N57">
    <cfRule type="cellIs" dxfId="16" priority="17" operator="equal">
      <formula>"REQUIRED"</formula>
    </cfRule>
  </conditionalFormatting>
  <conditionalFormatting sqref="N59:N67">
    <cfRule type="cellIs" dxfId="15" priority="16" operator="equal">
      <formula>"REQUIRED"</formula>
    </cfRule>
  </conditionalFormatting>
  <conditionalFormatting sqref="N69">
    <cfRule type="cellIs" dxfId="14" priority="15" operator="equal">
      <formula>"REQUIRED"</formula>
    </cfRule>
  </conditionalFormatting>
  <conditionalFormatting sqref="N71:N74">
    <cfRule type="cellIs" dxfId="13" priority="14" operator="equal">
      <formula>"REQUIRED"</formula>
    </cfRule>
  </conditionalFormatting>
  <conditionalFormatting sqref="N76:N80">
    <cfRule type="cellIs" dxfId="12" priority="13" operator="equal">
      <formula>"REQUIRED"</formula>
    </cfRule>
  </conditionalFormatting>
  <conditionalFormatting sqref="N82:N83">
    <cfRule type="cellIs" dxfId="11" priority="12" operator="equal">
      <formula>"REQUIRED"</formula>
    </cfRule>
  </conditionalFormatting>
  <conditionalFormatting sqref="N85:N89">
    <cfRule type="cellIs" dxfId="10" priority="11" operator="equal">
      <formula>"REQUIRED"</formula>
    </cfRule>
  </conditionalFormatting>
  <conditionalFormatting sqref="N91:N93">
    <cfRule type="cellIs" dxfId="9" priority="10" operator="equal">
      <formula>"REQUIRED"</formula>
    </cfRule>
  </conditionalFormatting>
  <conditionalFormatting sqref="N95:N102">
    <cfRule type="cellIs" dxfId="8" priority="9" operator="equal">
      <formula>"REQUIRED"</formula>
    </cfRule>
  </conditionalFormatting>
  <conditionalFormatting sqref="N108:N111">
    <cfRule type="cellIs" dxfId="7" priority="8" operator="equal">
      <formula>"REQUIRED"</formula>
    </cfRule>
  </conditionalFormatting>
  <conditionalFormatting sqref="N115:N118">
    <cfRule type="cellIs" dxfId="6" priority="7" operator="equal">
      <formula>"REQUIRED"</formula>
    </cfRule>
  </conditionalFormatting>
  <conditionalFormatting sqref="N120:N126">
    <cfRule type="cellIs" dxfId="5" priority="6" operator="equal">
      <formula>"REQUIRED"</formula>
    </cfRule>
  </conditionalFormatting>
  <conditionalFormatting sqref="N128:N131">
    <cfRule type="cellIs" dxfId="4" priority="5" operator="equal">
      <formula>"REQUIRED"</formula>
    </cfRule>
  </conditionalFormatting>
  <conditionalFormatting sqref="N134:N145">
    <cfRule type="cellIs" dxfId="3" priority="4" operator="equal">
      <formula>"REQUIRED"</formula>
    </cfRule>
  </conditionalFormatting>
  <conditionalFormatting sqref="N148:N150">
    <cfRule type="cellIs" dxfId="2" priority="3" operator="equal">
      <formula>"REQUIRED"</formula>
    </cfRule>
  </conditionalFormatting>
  <conditionalFormatting sqref="N154:N156">
    <cfRule type="cellIs" dxfId="1" priority="2" operator="equal">
      <formula>"REQUIRED"</formula>
    </cfRule>
  </conditionalFormatting>
  <conditionalFormatting sqref="N158:N165">
    <cfRule type="cellIs" dxfId="0" priority="1" operator="equal">
      <formula>"REQUIRED"</formula>
    </cfRule>
  </conditionalFormatting>
  <dataValidations count="1">
    <dataValidation type="list" allowBlank="1" showInputMessage="1" showErrorMessage="1" sqref="K16:K23 K85:K89 K54:K57 K108:K111 K69 K76:K80 K82:K83 K91:K93 K71:K74 K134:K145 K120:K126 K128:K131 K30:K50 K25:K28 K154:K156 K148:K150 K95:K102 K158:K165 K115:K118 K59:K67 K104:K106 K171:K183 K2:K9 K10" xr:uid="{33DEC2D4-FF45-4DFB-8BB0-7338B19A1570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474F-9A03-4444-BEA8-CD2CD4CCBA03}">
  <sheetPr codeName="Sheet2"/>
  <dimension ref="B1:K581"/>
  <sheetViews>
    <sheetView zoomScale="115" zoomScaleNormal="115" workbookViewId="0">
      <selection activeCell="J421" sqref="J421"/>
    </sheetView>
    <sheetView workbookViewId="1"/>
  </sheetViews>
  <sheetFormatPr defaultRowHeight="15" outlineLevelRow="1" x14ac:dyDescent="0.25"/>
  <cols>
    <col min="1" max="1" width="3.7109375" customWidth="1"/>
    <col min="2" max="2" width="3.7109375" style="13" customWidth="1"/>
    <col min="3" max="3" width="46.140625" style="13" customWidth="1"/>
    <col min="4" max="4" width="33.140625" style="39" customWidth="1"/>
    <col min="5" max="5" width="16.42578125" style="4" customWidth="1"/>
    <col min="6" max="6" width="33.5703125" style="48" customWidth="1"/>
    <col min="7" max="7" width="16.42578125" style="6" customWidth="1"/>
    <col min="8" max="8" width="33" style="48" customWidth="1"/>
    <col min="9" max="9" width="16.42578125" style="6" customWidth="1"/>
  </cols>
  <sheetData>
    <row r="1" spans="2:9" x14ac:dyDescent="0.25">
      <c r="D1" s="37"/>
      <c r="E1" s="8"/>
      <c r="F1" s="47"/>
      <c r="G1" s="8"/>
      <c r="H1" s="47"/>
      <c r="I1" s="8"/>
    </row>
    <row r="2" spans="2:9" s="2" customFormat="1" ht="24" customHeight="1" x14ac:dyDescent="0.25">
      <c r="B2" s="14"/>
      <c r="C2" s="14"/>
      <c r="D2" s="116" t="s">
        <v>103</v>
      </c>
      <c r="E2" s="117"/>
      <c r="F2" s="118" t="s">
        <v>104</v>
      </c>
      <c r="G2" s="119"/>
      <c r="H2" s="120" t="s">
        <v>302</v>
      </c>
      <c r="I2" s="121"/>
    </row>
    <row r="3" spans="2:9" x14ac:dyDescent="0.25">
      <c r="B3"/>
      <c r="D3" s="38"/>
      <c r="E3"/>
      <c r="F3" s="38"/>
      <c r="G3"/>
      <c r="H3" s="38"/>
      <c r="I3"/>
    </row>
    <row r="4" spans="2:9" x14ac:dyDescent="0.25">
      <c r="B4" s="20" t="s">
        <v>275</v>
      </c>
      <c r="C4" s="22"/>
      <c r="D4" s="21"/>
      <c r="E4" s="21"/>
      <c r="F4" s="21"/>
      <c r="G4" s="21"/>
      <c r="H4" s="21"/>
      <c r="I4" s="21"/>
    </row>
    <row r="5" spans="2:9" x14ac:dyDescent="0.25">
      <c r="D5" s="38"/>
      <c r="E5"/>
      <c r="F5" s="38"/>
      <c r="G5"/>
      <c r="H5" s="38"/>
      <c r="I5"/>
    </row>
    <row r="6" spans="2:9" x14ac:dyDescent="0.25">
      <c r="B6" s="16" t="s">
        <v>252</v>
      </c>
      <c r="C6" s="15"/>
      <c r="H6" s="55"/>
      <c r="I6" s="55"/>
    </row>
    <row r="7" spans="2:9" hidden="1" outlineLevel="1" x14ac:dyDescent="0.25">
      <c r="B7" s="15"/>
      <c r="C7" s="15" t="s">
        <v>253</v>
      </c>
      <c r="D7" s="39" t="s">
        <v>254</v>
      </c>
      <c r="E7" s="4">
        <v>600</v>
      </c>
      <c r="F7" s="48" t="s">
        <v>255</v>
      </c>
      <c r="G7" s="6">
        <v>570</v>
      </c>
      <c r="H7" s="26" t="s">
        <v>255</v>
      </c>
      <c r="I7" s="26">
        <v>570</v>
      </c>
    </row>
    <row r="8" spans="2:9" hidden="1" outlineLevel="1" x14ac:dyDescent="0.25">
      <c r="B8" s="15"/>
      <c r="C8" s="15" t="s">
        <v>256</v>
      </c>
      <c r="D8" s="39" t="s">
        <v>268</v>
      </c>
      <c r="E8" s="4">
        <v>1200</v>
      </c>
      <c r="F8" s="48" t="s">
        <v>268</v>
      </c>
      <c r="G8" s="6">
        <v>1200</v>
      </c>
      <c r="H8" s="26" t="s">
        <v>339</v>
      </c>
      <c r="I8" s="26">
        <v>600</v>
      </c>
    </row>
    <row r="9" spans="2:9" hidden="1" outlineLevel="1" x14ac:dyDescent="0.25">
      <c r="B9" s="15"/>
      <c r="C9" s="15" t="s">
        <v>257</v>
      </c>
      <c r="D9" s="39" t="s">
        <v>258</v>
      </c>
      <c r="E9" s="4">
        <v>120</v>
      </c>
      <c r="F9" s="48" t="s">
        <v>258</v>
      </c>
      <c r="G9" s="6">
        <v>120</v>
      </c>
      <c r="H9" s="26" t="s">
        <v>340</v>
      </c>
      <c r="I9" s="26">
        <v>70</v>
      </c>
    </row>
    <row r="10" spans="2:9" hidden="1" outlineLevel="1" x14ac:dyDescent="0.25">
      <c r="B10" s="15"/>
      <c r="C10" s="15" t="s">
        <v>259</v>
      </c>
      <c r="E10" s="4">
        <v>50</v>
      </c>
      <c r="G10" s="6">
        <v>50</v>
      </c>
      <c r="H10" s="26"/>
      <c r="I10" s="26">
        <v>50</v>
      </c>
    </row>
    <row r="11" spans="2:9" hidden="1" outlineLevel="1" x14ac:dyDescent="0.25">
      <c r="B11" s="15"/>
      <c r="C11" s="15" t="s">
        <v>260</v>
      </c>
      <c r="D11" s="39" t="s">
        <v>261</v>
      </c>
      <c r="E11" s="4">
        <v>450</v>
      </c>
      <c r="F11" s="48" t="s">
        <v>262</v>
      </c>
      <c r="G11" s="6">
        <v>200</v>
      </c>
      <c r="H11" s="26" t="s">
        <v>341</v>
      </c>
      <c r="I11" s="26">
        <v>400</v>
      </c>
    </row>
    <row r="12" spans="2:9" hidden="1" outlineLevel="1" x14ac:dyDescent="0.25">
      <c r="B12" s="15"/>
      <c r="C12" s="15" t="s">
        <v>263</v>
      </c>
      <c r="E12" s="4">
        <v>100</v>
      </c>
      <c r="G12" s="6">
        <v>100</v>
      </c>
      <c r="H12" s="26"/>
      <c r="I12" s="26">
        <v>100</v>
      </c>
    </row>
    <row r="13" spans="2:9" hidden="1" outlineLevel="1" x14ac:dyDescent="0.25">
      <c r="B13" s="28"/>
      <c r="C13" s="28" t="s">
        <v>264</v>
      </c>
      <c r="D13" s="40"/>
      <c r="E13" s="18">
        <v>50</v>
      </c>
      <c r="F13" s="49"/>
      <c r="G13" s="19">
        <v>25</v>
      </c>
      <c r="H13" s="29"/>
      <c r="I13" s="29">
        <v>25</v>
      </c>
    </row>
    <row r="14" spans="2:9" collapsed="1" x14ac:dyDescent="0.25">
      <c r="B14" s="30"/>
      <c r="C14" s="30"/>
      <c r="D14" s="41"/>
      <c r="E14" s="31">
        <f>(1+$D$448+$D$449)*SUM(E7:E13)</f>
        <v>2852.7000000000003</v>
      </c>
      <c r="F14" s="50"/>
      <c r="G14" s="32">
        <f>(1+$D$448+$D$449)*SUM(G7:G13)</f>
        <v>2514.15</v>
      </c>
      <c r="H14" s="53"/>
      <c r="I14" s="33">
        <f>(1+$D$448+$D$449)*SUM(I7:I13)</f>
        <v>2014.65</v>
      </c>
    </row>
    <row r="15" spans="2:9" x14ac:dyDescent="0.25">
      <c r="B15" s="24"/>
      <c r="C15" s="24"/>
      <c r="D15" s="9"/>
      <c r="E15" s="9"/>
      <c r="F15" s="9"/>
      <c r="G15" s="9"/>
      <c r="H15" s="9"/>
      <c r="I15" s="9"/>
    </row>
    <row r="16" spans="2:9" x14ac:dyDescent="0.25">
      <c r="B16" s="16" t="s">
        <v>5</v>
      </c>
      <c r="C16" s="15"/>
      <c r="H16" s="26"/>
      <c r="I16" s="55"/>
    </row>
    <row r="17" spans="2:9" hidden="1" outlineLevel="1" x14ac:dyDescent="0.25">
      <c r="B17" s="15"/>
      <c r="C17" s="15" t="s">
        <v>5</v>
      </c>
      <c r="D17" s="39" t="s">
        <v>265</v>
      </c>
      <c r="E17" s="4">
        <v>2200</v>
      </c>
      <c r="F17" s="48" t="s">
        <v>265</v>
      </c>
      <c r="G17" s="6">
        <v>2200</v>
      </c>
      <c r="H17" s="26" t="s">
        <v>354</v>
      </c>
      <c r="I17" s="26">
        <v>1700</v>
      </c>
    </row>
    <row r="18" spans="2:9" hidden="1" outlineLevel="1" x14ac:dyDescent="0.25">
      <c r="B18" s="15"/>
      <c r="C18" s="15" t="s">
        <v>271</v>
      </c>
      <c r="D18" s="39" t="s">
        <v>269</v>
      </c>
      <c r="E18" s="4">
        <v>300</v>
      </c>
      <c r="F18" s="48" t="s">
        <v>269</v>
      </c>
      <c r="G18" s="6">
        <v>250</v>
      </c>
      <c r="H18" s="26" t="s">
        <v>355</v>
      </c>
      <c r="I18" s="26">
        <v>150</v>
      </c>
    </row>
    <row r="19" spans="2:9" hidden="1" outlineLevel="1" x14ac:dyDescent="0.25">
      <c r="B19" s="15"/>
      <c r="C19" s="15" t="s">
        <v>267</v>
      </c>
      <c r="E19" s="4">
        <v>150</v>
      </c>
      <c r="G19" s="6">
        <v>100</v>
      </c>
      <c r="H19" s="26"/>
      <c r="I19" s="26">
        <v>0</v>
      </c>
    </row>
    <row r="20" spans="2:9" hidden="1" outlineLevel="1" x14ac:dyDescent="0.25">
      <c r="B20" s="15"/>
      <c r="C20" s="15" t="s">
        <v>356</v>
      </c>
      <c r="D20" s="39" t="s">
        <v>303</v>
      </c>
      <c r="E20" s="4">
        <v>0</v>
      </c>
      <c r="F20" s="48" t="s">
        <v>303</v>
      </c>
      <c r="G20" s="6">
        <v>0</v>
      </c>
      <c r="H20" s="26" t="s">
        <v>303</v>
      </c>
      <c r="I20" s="26">
        <v>0</v>
      </c>
    </row>
    <row r="21" spans="2:9" collapsed="1" x14ac:dyDescent="0.25">
      <c r="B21" s="30"/>
      <c r="C21" s="30"/>
      <c r="D21" s="41"/>
      <c r="E21" s="31">
        <f>(1+$D$448+$D$449)*SUM(E16:E20)</f>
        <v>2941.5000000000005</v>
      </c>
      <c r="F21" s="50"/>
      <c r="G21" s="32">
        <f>(1+$D$448+$D$449)*SUM(G16:G20)</f>
        <v>2830.5000000000005</v>
      </c>
      <c r="H21" s="53"/>
      <c r="I21" s="33">
        <f>(1+$D$448+$D$449)*SUM(I16:I20)</f>
        <v>2053.5</v>
      </c>
    </row>
    <row r="22" spans="2:9" x14ac:dyDescent="0.25">
      <c r="B22"/>
      <c r="D22" s="38"/>
      <c r="E22"/>
      <c r="F22" s="38"/>
      <c r="G22"/>
      <c r="H22" s="38"/>
      <c r="I22"/>
    </row>
    <row r="23" spans="2:9" x14ac:dyDescent="0.25">
      <c r="B23" s="16" t="s">
        <v>357</v>
      </c>
      <c r="C23" s="15"/>
      <c r="H23" s="26"/>
      <c r="I23" s="56">
        <f>G28</f>
        <v>732.6</v>
      </c>
    </row>
    <row r="24" spans="2:9" hidden="1" outlineLevel="1" x14ac:dyDescent="0.25">
      <c r="B24" s="15"/>
      <c r="C24" s="15" t="s">
        <v>45</v>
      </c>
      <c r="D24" s="39" t="s">
        <v>270</v>
      </c>
      <c r="E24" s="4">
        <v>240</v>
      </c>
      <c r="F24" s="48" t="s">
        <v>272</v>
      </c>
      <c r="G24" s="6">
        <v>150</v>
      </c>
      <c r="H24" s="26" t="s">
        <v>358</v>
      </c>
      <c r="I24" s="26">
        <v>0</v>
      </c>
    </row>
    <row r="25" spans="2:9" hidden="1" outlineLevel="1" x14ac:dyDescent="0.25">
      <c r="B25" s="15"/>
      <c r="C25" s="15" t="s">
        <v>520</v>
      </c>
      <c r="D25" s="39" t="s">
        <v>521</v>
      </c>
      <c r="E25" s="4">
        <v>150</v>
      </c>
      <c r="F25" s="48" t="s">
        <v>521</v>
      </c>
      <c r="G25" s="6">
        <v>150</v>
      </c>
      <c r="H25" s="26"/>
      <c r="I25" s="26">
        <v>0</v>
      </c>
    </row>
    <row r="26" spans="2:9" hidden="1" outlineLevel="1" x14ac:dyDescent="0.25">
      <c r="B26" s="15"/>
      <c r="C26" s="15" t="s">
        <v>266</v>
      </c>
      <c r="D26" s="39" t="s">
        <v>273</v>
      </c>
      <c r="E26" s="4">
        <v>240</v>
      </c>
      <c r="F26" s="48" t="s">
        <v>273</v>
      </c>
      <c r="G26" s="6">
        <v>240</v>
      </c>
      <c r="H26" s="26" t="s">
        <v>358</v>
      </c>
      <c r="I26" s="26">
        <v>0</v>
      </c>
    </row>
    <row r="27" spans="2:9" hidden="1" outlineLevel="1" x14ac:dyDescent="0.25">
      <c r="B27" s="15"/>
      <c r="C27" s="15" t="s">
        <v>274</v>
      </c>
      <c r="E27" s="4">
        <v>150</v>
      </c>
      <c r="G27" s="6">
        <v>120</v>
      </c>
      <c r="H27" s="26" t="s">
        <v>359</v>
      </c>
      <c r="I27" s="26">
        <v>400</v>
      </c>
    </row>
    <row r="28" spans="2:9" collapsed="1" x14ac:dyDescent="0.25">
      <c r="B28" s="30"/>
      <c r="C28" s="30"/>
      <c r="D28" s="41"/>
      <c r="E28" s="31">
        <f>(1+$D$448+$D$449)*SUM(E24:E27)</f>
        <v>865.80000000000007</v>
      </c>
      <c r="F28" s="50"/>
      <c r="G28" s="32">
        <f>(1+$D$448+$D$449)*SUM(G24:G27)</f>
        <v>732.6</v>
      </c>
      <c r="H28" s="53"/>
      <c r="I28" s="33">
        <f>(1+$D$448+$D$449)*SUM(I24:I27)</f>
        <v>444.00000000000006</v>
      </c>
    </row>
    <row r="29" spans="2:9" x14ac:dyDescent="0.25">
      <c r="B29"/>
      <c r="D29" s="38"/>
      <c r="E29"/>
      <c r="F29" s="38"/>
      <c r="G29"/>
      <c r="H29" s="38"/>
      <c r="I29"/>
    </row>
    <row r="30" spans="2:9" x14ac:dyDescent="0.25">
      <c r="B30" s="20" t="s">
        <v>387</v>
      </c>
      <c r="C30" s="22"/>
      <c r="D30" s="21"/>
      <c r="E30" s="21"/>
      <c r="F30" s="21"/>
      <c r="G30" s="21"/>
      <c r="H30" s="21"/>
      <c r="I30" s="21"/>
    </row>
    <row r="31" spans="2:9" x14ac:dyDescent="0.25">
      <c r="D31" s="38"/>
      <c r="E31"/>
      <c r="F31" s="38"/>
      <c r="G31"/>
      <c r="H31" s="38"/>
      <c r="I31"/>
    </row>
    <row r="32" spans="2:9" x14ac:dyDescent="0.25">
      <c r="B32" s="16" t="s">
        <v>360</v>
      </c>
      <c r="C32" s="15"/>
      <c r="H32" s="26"/>
      <c r="I32" s="55"/>
    </row>
    <row r="33" spans="2:9" hidden="1" outlineLevel="1" x14ac:dyDescent="0.25">
      <c r="B33" s="15"/>
      <c r="C33" s="15" t="s">
        <v>363</v>
      </c>
      <c r="E33" s="4">
        <v>480</v>
      </c>
      <c r="G33" s="6">
        <v>400</v>
      </c>
      <c r="H33" s="26"/>
      <c r="I33" s="26">
        <v>400</v>
      </c>
    </row>
    <row r="34" spans="2:9" hidden="1" outlineLevel="1" x14ac:dyDescent="0.25">
      <c r="B34" s="15"/>
      <c r="C34" s="15" t="s">
        <v>364</v>
      </c>
      <c r="E34" s="4">
        <v>600</v>
      </c>
      <c r="G34" s="6">
        <v>500</v>
      </c>
      <c r="H34" s="26"/>
      <c r="I34" s="26">
        <v>500</v>
      </c>
    </row>
    <row r="35" spans="2:9" hidden="1" outlineLevel="1" x14ac:dyDescent="0.25">
      <c r="B35" s="15"/>
      <c r="C35" s="15" t="s">
        <v>365</v>
      </c>
      <c r="D35" s="39" t="s">
        <v>349</v>
      </c>
      <c r="E35" s="4">
        <v>960</v>
      </c>
      <c r="F35" s="48" t="s">
        <v>349</v>
      </c>
      <c r="G35" s="6">
        <v>800</v>
      </c>
      <c r="H35" s="26" t="s">
        <v>349</v>
      </c>
      <c r="I35" s="26">
        <v>800</v>
      </c>
    </row>
    <row r="36" spans="2:9" hidden="1" outlineLevel="1" x14ac:dyDescent="0.25">
      <c r="B36" s="15"/>
      <c r="C36" s="15" t="s">
        <v>366</v>
      </c>
      <c r="D36" s="39" t="s">
        <v>349</v>
      </c>
      <c r="E36" s="4">
        <v>660</v>
      </c>
      <c r="F36" s="48" t="s">
        <v>349</v>
      </c>
      <c r="G36" s="6">
        <v>550</v>
      </c>
      <c r="H36" s="26" t="s">
        <v>349</v>
      </c>
      <c r="I36" s="26">
        <v>550</v>
      </c>
    </row>
    <row r="37" spans="2:9" hidden="1" outlineLevel="1" x14ac:dyDescent="0.25">
      <c r="B37" s="15"/>
      <c r="C37" s="15" t="s">
        <v>367</v>
      </c>
      <c r="D37" s="39" t="s">
        <v>349</v>
      </c>
      <c r="E37" s="4">
        <v>600</v>
      </c>
      <c r="F37" s="48" t="s">
        <v>349</v>
      </c>
      <c r="G37" s="6">
        <v>500</v>
      </c>
      <c r="H37" s="26" t="s">
        <v>349</v>
      </c>
      <c r="I37" s="26">
        <v>500</v>
      </c>
    </row>
    <row r="38" spans="2:9" hidden="1" outlineLevel="1" x14ac:dyDescent="0.25">
      <c r="B38" s="15"/>
      <c r="C38" s="15" t="s">
        <v>369</v>
      </c>
      <c r="E38" s="4">
        <v>1200</v>
      </c>
      <c r="G38" s="6">
        <v>1000</v>
      </c>
      <c r="H38" s="26" t="s">
        <v>372</v>
      </c>
      <c r="I38" s="26">
        <v>500</v>
      </c>
    </row>
    <row r="39" spans="2:9" collapsed="1" x14ac:dyDescent="0.25">
      <c r="B39" s="30"/>
      <c r="C39" s="30"/>
      <c r="D39" s="41" t="s">
        <v>370</v>
      </c>
      <c r="E39" s="31">
        <f>(1+$D$448+$D$449)*SUM(E33:E38)</f>
        <v>4995</v>
      </c>
      <c r="F39" s="50" t="s">
        <v>371</v>
      </c>
      <c r="G39" s="32">
        <f>(1+$D$448+$D$449)*SUM(G33:G38)</f>
        <v>4162.5</v>
      </c>
      <c r="H39" s="53"/>
      <c r="I39" s="33">
        <f>(1+$D$448+$D$449)*SUM(I33:I38)</f>
        <v>3607.5000000000005</v>
      </c>
    </row>
    <row r="40" spans="2:9" x14ac:dyDescent="0.25">
      <c r="B40" s="24"/>
      <c r="C40" s="24"/>
      <c r="D40" s="9"/>
      <c r="E40" s="9"/>
      <c r="F40" s="9"/>
      <c r="G40" s="9"/>
      <c r="H40" s="9"/>
      <c r="I40" s="9"/>
    </row>
    <row r="41" spans="2:9" x14ac:dyDescent="0.25">
      <c r="B41" s="16" t="s">
        <v>368</v>
      </c>
      <c r="C41" s="15"/>
      <c r="H41" s="26"/>
      <c r="I41" s="55"/>
    </row>
    <row r="42" spans="2:9" hidden="1" outlineLevel="1" x14ac:dyDescent="0.25">
      <c r="B42" s="15"/>
      <c r="C42" s="15" t="s">
        <v>368</v>
      </c>
      <c r="E42" s="4">
        <v>2700</v>
      </c>
      <c r="G42" s="6">
        <v>2300</v>
      </c>
      <c r="H42" s="26"/>
      <c r="I42" s="26">
        <v>2300</v>
      </c>
    </row>
    <row r="43" spans="2:9" collapsed="1" x14ac:dyDescent="0.25">
      <c r="B43" s="30"/>
      <c r="C43" s="30"/>
      <c r="D43" s="41" t="s">
        <v>370</v>
      </c>
      <c r="E43" s="31">
        <f>(1+$D$448+$D$449)*SUM(E42:E42)</f>
        <v>2997.0000000000005</v>
      </c>
      <c r="F43" s="50" t="s">
        <v>371</v>
      </c>
      <c r="G43" s="32">
        <f>(1+$D$448+$D$449)*SUM(G42:G42)</f>
        <v>2553</v>
      </c>
      <c r="H43" s="53" t="s">
        <v>371</v>
      </c>
      <c r="I43" s="33">
        <f>(1+$D$448+$D$449)*SUM(I42:I42)</f>
        <v>2553</v>
      </c>
    </row>
    <row r="44" spans="2:9" x14ac:dyDescent="0.25">
      <c r="B44" s="24"/>
      <c r="C44" s="24"/>
      <c r="D44" s="9"/>
      <c r="E44" s="9"/>
      <c r="F44" s="9"/>
      <c r="G44" s="9"/>
      <c r="H44" s="9"/>
      <c r="I44" s="9"/>
    </row>
    <row r="45" spans="2:9" x14ac:dyDescent="0.25">
      <c r="B45" s="16" t="s">
        <v>361</v>
      </c>
      <c r="C45" s="15"/>
      <c r="H45" s="26"/>
      <c r="I45" s="56"/>
    </row>
    <row r="46" spans="2:9" hidden="1" outlineLevel="1" x14ac:dyDescent="0.25">
      <c r="B46" s="15"/>
      <c r="C46" s="15" t="s">
        <v>373</v>
      </c>
      <c r="E46" s="18">
        <v>140</v>
      </c>
      <c r="F46" s="49"/>
      <c r="G46" s="19">
        <v>100</v>
      </c>
      <c r="H46" s="29"/>
      <c r="I46" s="29">
        <v>100</v>
      </c>
    </row>
    <row r="47" spans="2:9" hidden="1" outlineLevel="1" x14ac:dyDescent="0.25">
      <c r="B47" s="15"/>
      <c r="C47" s="15" t="s">
        <v>374</v>
      </c>
      <c r="E47" s="18">
        <v>180</v>
      </c>
      <c r="F47" s="49"/>
      <c r="G47" s="19">
        <v>120</v>
      </c>
      <c r="H47" s="29"/>
      <c r="I47" s="29">
        <v>120</v>
      </c>
    </row>
    <row r="48" spans="2:9" hidden="1" outlineLevel="1" x14ac:dyDescent="0.25">
      <c r="B48" s="15"/>
      <c r="C48" s="15" t="s">
        <v>375</v>
      </c>
      <c r="E48" s="18">
        <v>210</v>
      </c>
      <c r="F48" s="49"/>
      <c r="G48" s="19">
        <v>150</v>
      </c>
      <c r="H48" s="29"/>
      <c r="I48" s="29">
        <v>150</v>
      </c>
    </row>
    <row r="49" spans="2:9" hidden="1" outlineLevel="1" x14ac:dyDescent="0.25">
      <c r="B49" s="15"/>
      <c r="C49" s="15" t="s">
        <v>376</v>
      </c>
      <c r="E49" s="18">
        <v>280</v>
      </c>
      <c r="F49" s="49"/>
      <c r="G49" s="19">
        <v>200</v>
      </c>
      <c r="H49" s="29"/>
      <c r="I49" s="29">
        <v>200</v>
      </c>
    </row>
    <row r="50" spans="2:9" hidden="1" outlineLevel="1" x14ac:dyDescent="0.25">
      <c r="B50" s="15"/>
      <c r="C50" s="15" t="s">
        <v>377</v>
      </c>
      <c r="E50" s="18">
        <v>105</v>
      </c>
      <c r="F50" s="49"/>
      <c r="G50" s="19">
        <v>75</v>
      </c>
      <c r="H50" s="29"/>
      <c r="I50" s="29">
        <v>75</v>
      </c>
    </row>
    <row r="51" spans="2:9" hidden="1" outlineLevel="1" x14ac:dyDescent="0.25">
      <c r="B51" s="15"/>
      <c r="C51" s="15" t="s">
        <v>378</v>
      </c>
      <c r="E51" s="18">
        <v>240</v>
      </c>
      <c r="F51" s="49"/>
      <c r="G51" s="19">
        <v>180</v>
      </c>
      <c r="H51" s="29"/>
      <c r="I51" s="29">
        <v>180</v>
      </c>
    </row>
    <row r="52" spans="2:9" hidden="1" outlineLevel="1" x14ac:dyDescent="0.25">
      <c r="B52" s="28"/>
      <c r="C52" s="28" t="s">
        <v>379</v>
      </c>
      <c r="D52" s="40"/>
      <c r="E52" s="18">
        <v>140</v>
      </c>
      <c r="F52" s="49"/>
      <c r="G52" s="19">
        <v>100</v>
      </c>
      <c r="H52" s="29"/>
      <c r="I52" s="29">
        <v>100</v>
      </c>
    </row>
    <row r="53" spans="2:9" hidden="1" outlineLevel="1" x14ac:dyDescent="0.25">
      <c r="B53" s="15"/>
      <c r="C53" s="15" t="s">
        <v>380</v>
      </c>
      <c r="E53" s="18">
        <v>210</v>
      </c>
      <c r="F53" s="49"/>
      <c r="G53" s="19">
        <v>150</v>
      </c>
      <c r="H53" s="29"/>
      <c r="I53" s="29">
        <v>150</v>
      </c>
    </row>
    <row r="54" spans="2:9" hidden="1" outlineLevel="1" x14ac:dyDescent="0.25">
      <c r="B54" s="15"/>
      <c r="C54" s="15" t="s">
        <v>381</v>
      </c>
      <c r="E54" s="4">
        <v>70</v>
      </c>
      <c r="G54" s="6">
        <v>50</v>
      </c>
      <c r="H54" s="26"/>
      <c r="I54" s="26">
        <v>50</v>
      </c>
    </row>
    <row r="55" spans="2:9" hidden="1" outlineLevel="1" x14ac:dyDescent="0.25">
      <c r="B55" s="15"/>
      <c r="C55" s="15" t="s">
        <v>382</v>
      </c>
      <c r="E55" s="4">
        <v>40</v>
      </c>
      <c r="G55" s="6">
        <v>25</v>
      </c>
      <c r="H55" s="26"/>
      <c r="I55" s="26">
        <v>25</v>
      </c>
    </row>
    <row r="56" spans="2:9" hidden="1" outlineLevel="1" x14ac:dyDescent="0.25">
      <c r="B56" s="15"/>
      <c r="C56" s="15" t="s">
        <v>383</v>
      </c>
      <c r="E56" s="4">
        <v>100</v>
      </c>
      <c r="G56" s="6">
        <v>75</v>
      </c>
      <c r="H56" s="26"/>
      <c r="I56" s="26">
        <v>75</v>
      </c>
    </row>
    <row r="57" spans="2:9" hidden="1" outlineLevel="1" x14ac:dyDescent="0.25">
      <c r="B57" s="15"/>
      <c r="C57" s="15" t="s">
        <v>384</v>
      </c>
      <c r="E57" s="4">
        <v>70</v>
      </c>
      <c r="G57" s="6">
        <v>50</v>
      </c>
      <c r="H57" s="26"/>
      <c r="I57" s="26">
        <v>50</v>
      </c>
    </row>
    <row r="58" spans="2:9" collapsed="1" x14ac:dyDescent="0.25">
      <c r="B58" s="30"/>
      <c r="C58" s="30"/>
      <c r="D58" s="41" t="s">
        <v>385</v>
      </c>
      <c r="E58" s="31">
        <f>(1+$D$448+$D$449)*SUM(E46:E57)</f>
        <v>1981.3500000000001</v>
      </c>
      <c r="F58" s="50" t="s">
        <v>386</v>
      </c>
      <c r="G58" s="32">
        <f>(1+$D$448+$D$449)*SUM(G46:G57)</f>
        <v>1415.2500000000002</v>
      </c>
      <c r="H58" s="53" t="s">
        <v>386</v>
      </c>
      <c r="I58" s="33">
        <v>1415.2500000000002</v>
      </c>
    </row>
    <row r="59" spans="2:9" x14ac:dyDescent="0.25">
      <c r="B59" s="24"/>
      <c r="C59" s="24"/>
      <c r="D59" s="9"/>
      <c r="E59" s="9"/>
      <c r="F59" s="9"/>
      <c r="G59" s="9"/>
      <c r="H59" s="9"/>
      <c r="I59" s="9"/>
    </row>
    <row r="60" spans="2:9" x14ac:dyDescent="0.25">
      <c r="B60" s="16" t="s">
        <v>174</v>
      </c>
      <c r="C60" s="15"/>
      <c r="H60" s="26"/>
      <c r="I60" s="56"/>
    </row>
    <row r="61" spans="2:9" hidden="1" outlineLevel="1" x14ac:dyDescent="0.25">
      <c r="B61" s="28"/>
      <c r="C61" s="28" t="s">
        <v>388</v>
      </c>
      <c r="D61" s="40"/>
      <c r="E61" s="18">
        <v>50</v>
      </c>
      <c r="F61" s="49"/>
      <c r="G61" s="19">
        <v>160</v>
      </c>
      <c r="H61" s="29"/>
      <c r="I61" s="29">
        <v>160</v>
      </c>
    </row>
    <row r="62" spans="2:9" hidden="1" outlineLevel="1" x14ac:dyDescent="0.25">
      <c r="B62" s="15"/>
      <c r="C62" s="15" t="s">
        <v>389</v>
      </c>
      <c r="E62" s="4">
        <v>100</v>
      </c>
      <c r="G62" s="6">
        <v>80</v>
      </c>
      <c r="H62" s="26"/>
      <c r="I62" s="26">
        <v>80</v>
      </c>
    </row>
    <row r="63" spans="2:9" hidden="1" outlineLevel="1" x14ac:dyDescent="0.25">
      <c r="B63" s="15"/>
      <c r="C63" s="15" t="s">
        <v>390</v>
      </c>
      <c r="E63" s="4">
        <v>150</v>
      </c>
      <c r="G63" s="6">
        <v>120</v>
      </c>
      <c r="H63" s="26"/>
      <c r="I63" s="26">
        <v>120</v>
      </c>
    </row>
    <row r="64" spans="2:9" hidden="1" outlineLevel="1" x14ac:dyDescent="0.25">
      <c r="B64" s="15"/>
      <c r="C64" s="15" t="s">
        <v>391</v>
      </c>
      <c r="E64" s="4">
        <v>200</v>
      </c>
      <c r="G64" s="6">
        <v>160</v>
      </c>
      <c r="H64" s="26"/>
      <c r="I64" s="26">
        <v>160</v>
      </c>
    </row>
    <row r="65" spans="2:9" hidden="1" outlineLevel="1" x14ac:dyDescent="0.25">
      <c r="B65" s="15"/>
      <c r="C65" s="15" t="s">
        <v>392</v>
      </c>
      <c r="E65" s="4">
        <v>50</v>
      </c>
      <c r="G65" s="6">
        <v>40</v>
      </c>
      <c r="H65" s="26"/>
      <c r="I65" s="26">
        <v>40</v>
      </c>
    </row>
    <row r="66" spans="2:9" hidden="1" outlineLevel="1" x14ac:dyDescent="0.25">
      <c r="B66" s="15"/>
      <c r="C66" s="15" t="s">
        <v>393</v>
      </c>
      <c r="E66" s="4">
        <v>100</v>
      </c>
      <c r="G66" s="6">
        <v>80</v>
      </c>
      <c r="H66" s="26"/>
      <c r="I66" s="26">
        <v>80</v>
      </c>
    </row>
    <row r="67" spans="2:9" hidden="1" outlineLevel="1" x14ac:dyDescent="0.25">
      <c r="B67" s="15"/>
      <c r="C67" s="15" t="s">
        <v>394</v>
      </c>
      <c r="E67" s="4">
        <v>100</v>
      </c>
      <c r="G67" s="6">
        <v>80</v>
      </c>
      <c r="H67" s="26"/>
      <c r="I67" s="26">
        <v>80</v>
      </c>
    </row>
    <row r="68" spans="2:9" hidden="1" outlineLevel="1" x14ac:dyDescent="0.25">
      <c r="B68" s="28"/>
      <c r="C68" s="28" t="s">
        <v>395</v>
      </c>
      <c r="D68" s="40"/>
      <c r="E68" s="18">
        <v>100</v>
      </c>
      <c r="F68" s="49"/>
      <c r="G68" s="19">
        <v>80</v>
      </c>
      <c r="H68" s="29"/>
      <c r="I68" s="29">
        <v>80</v>
      </c>
    </row>
    <row r="69" spans="2:9" collapsed="1" x14ac:dyDescent="0.25">
      <c r="B69" s="30"/>
      <c r="C69" s="30"/>
      <c r="D69" s="41" t="s">
        <v>396</v>
      </c>
      <c r="E69" s="31">
        <f>(1+$D$448+$D$449)*SUM(E61:E68)</f>
        <v>943.50000000000011</v>
      </c>
      <c r="F69" s="50" t="s">
        <v>397</v>
      </c>
      <c r="G69" s="32">
        <f>(1+$D$448+$D$449)*SUM(G61:G68)</f>
        <v>888.00000000000011</v>
      </c>
      <c r="H69" s="53"/>
      <c r="I69" s="33">
        <f>(1+$D$448+$D$449)*SUM(I61:I68)</f>
        <v>888.00000000000011</v>
      </c>
    </row>
    <row r="70" spans="2:9" x14ac:dyDescent="0.25">
      <c r="B70" s="24"/>
      <c r="C70" s="24"/>
      <c r="D70" s="9"/>
      <c r="E70" s="9"/>
      <c r="F70" s="9"/>
      <c r="G70" s="9"/>
      <c r="H70" s="9"/>
      <c r="I70" s="9"/>
    </row>
    <row r="71" spans="2:9" x14ac:dyDescent="0.25">
      <c r="B71" s="16" t="s">
        <v>362</v>
      </c>
      <c r="C71" s="15"/>
      <c r="H71" s="26"/>
      <c r="I71" s="26">
        <f>G76</f>
        <v>8103.0000000000009</v>
      </c>
    </row>
    <row r="72" spans="2:9" hidden="1" outlineLevel="1" x14ac:dyDescent="0.25">
      <c r="B72" s="15"/>
      <c r="C72" s="15" t="s">
        <v>398</v>
      </c>
      <c r="E72" s="4">
        <v>2500</v>
      </c>
      <c r="G72" s="6">
        <v>2000</v>
      </c>
      <c r="H72" s="26"/>
      <c r="I72" s="26">
        <v>2000</v>
      </c>
    </row>
    <row r="73" spans="2:9" hidden="1" outlineLevel="1" x14ac:dyDescent="0.25">
      <c r="B73" s="15"/>
      <c r="C73" s="15" t="s">
        <v>399</v>
      </c>
      <c r="E73" s="4">
        <v>2000</v>
      </c>
      <c r="G73" s="6">
        <v>1500</v>
      </c>
      <c r="H73" s="26"/>
      <c r="I73" s="26">
        <v>1500</v>
      </c>
    </row>
    <row r="74" spans="2:9" hidden="1" outlineLevel="1" x14ac:dyDescent="0.25">
      <c r="B74" s="15"/>
      <c r="C74" s="15" t="s">
        <v>400</v>
      </c>
      <c r="E74" s="4">
        <v>2400</v>
      </c>
      <c r="G74" s="6">
        <v>1800</v>
      </c>
      <c r="H74" s="26"/>
      <c r="I74" s="26">
        <v>1800</v>
      </c>
    </row>
    <row r="75" spans="2:9" hidden="1" outlineLevel="1" x14ac:dyDescent="0.25">
      <c r="B75" s="15"/>
      <c r="C75" s="15" t="s">
        <v>401</v>
      </c>
      <c r="E75" s="4">
        <v>2500</v>
      </c>
      <c r="G75" s="6">
        <v>2000</v>
      </c>
      <c r="H75" s="26"/>
      <c r="I75" s="26">
        <v>2000</v>
      </c>
    </row>
    <row r="76" spans="2:9" collapsed="1" x14ac:dyDescent="0.25">
      <c r="B76" s="30"/>
      <c r="C76" s="30"/>
      <c r="D76" s="41"/>
      <c r="E76" s="31">
        <f>(1+$D$448+$D$449)*SUM(E72:E75)</f>
        <v>10434.000000000002</v>
      </c>
      <c r="F76" s="50"/>
      <c r="G76" s="32">
        <f>(1+$D$448+$D$449)*SUM(G72:G75)</f>
        <v>8103.0000000000009</v>
      </c>
      <c r="H76" s="53"/>
      <c r="I76" s="33">
        <f>(1+$D$448+$D$449)*SUM(I72:I75)</f>
        <v>8103.0000000000009</v>
      </c>
    </row>
    <row r="77" spans="2:9" x14ac:dyDescent="0.25">
      <c r="B77" s="24"/>
      <c r="C77" s="24"/>
      <c r="D77" s="9"/>
      <c r="E77" s="9"/>
      <c r="F77" s="9"/>
      <c r="G77" s="9"/>
      <c r="H77" s="9"/>
      <c r="I77" s="9"/>
    </row>
    <row r="78" spans="2:9" x14ac:dyDescent="0.25">
      <c r="B78" s="20" t="s">
        <v>276</v>
      </c>
      <c r="C78" s="22"/>
      <c r="D78" s="21"/>
      <c r="E78" s="21"/>
      <c r="F78" s="21"/>
      <c r="G78" s="21"/>
      <c r="H78" s="21"/>
      <c r="I78" s="21"/>
    </row>
    <row r="79" spans="2:9" x14ac:dyDescent="0.25">
      <c r="D79" s="38"/>
      <c r="E79"/>
      <c r="F79" s="38"/>
      <c r="G79"/>
      <c r="H79" s="38"/>
      <c r="I79"/>
    </row>
    <row r="80" spans="2:9" x14ac:dyDescent="0.25">
      <c r="B80" s="16" t="s">
        <v>286</v>
      </c>
      <c r="C80" s="15"/>
      <c r="H80" s="26"/>
      <c r="I80" s="56"/>
    </row>
    <row r="81" spans="2:9" hidden="1" outlineLevel="1" x14ac:dyDescent="0.25">
      <c r="B81" s="15"/>
      <c r="C81" s="15" t="s">
        <v>244</v>
      </c>
      <c r="D81" s="39" t="s">
        <v>285</v>
      </c>
      <c r="E81" s="4">
        <v>3200</v>
      </c>
      <c r="F81" s="48" t="s">
        <v>285</v>
      </c>
      <c r="G81" s="6">
        <v>2700</v>
      </c>
      <c r="H81" s="26" t="s">
        <v>285</v>
      </c>
      <c r="I81" s="26">
        <v>2700</v>
      </c>
    </row>
    <row r="82" spans="2:9" hidden="1" outlineLevel="1" x14ac:dyDescent="0.25">
      <c r="B82" s="15"/>
      <c r="C82" s="15" t="s">
        <v>245</v>
      </c>
      <c r="E82" s="4">
        <v>1000</v>
      </c>
      <c r="G82" s="6">
        <v>500</v>
      </c>
      <c r="H82" s="26"/>
      <c r="I82" s="26">
        <v>500</v>
      </c>
    </row>
    <row r="83" spans="2:9" hidden="1" outlineLevel="1" x14ac:dyDescent="0.25">
      <c r="B83" s="15"/>
      <c r="C83" s="15" t="s">
        <v>246</v>
      </c>
      <c r="E83" s="4">
        <v>300</v>
      </c>
      <c r="G83" s="6">
        <v>300</v>
      </c>
      <c r="H83" s="26"/>
      <c r="I83" s="26">
        <v>300</v>
      </c>
    </row>
    <row r="84" spans="2:9" collapsed="1" x14ac:dyDescent="0.25">
      <c r="B84" s="30"/>
      <c r="C84" s="30"/>
      <c r="D84" s="41"/>
      <c r="E84" s="31">
        <f>(1+$D$448+$D$449)*SUM(E81:E83)</f>
        <v>4995</v>
      </c>
      <c r="F84" s="50"/>
      <c r="G84" s="32">
        <f>(1+$D$448+$D$449)*SUM(G81:G83)</f>
        <v>3885.0000000000005</v>
      </c>
      <c r="H84" s="53"/>
      <c r="I84" s="33">
        <f>(1+$D$448+$D$449)*SUM(I81:I83)</f>
        <v>3885.0000000000005</v>
      </c>
    </row>
    <row r="85" spans="2:9" x14ac:dyDescent="0.25">
      <c r="D85" s="38"/>
      <c r="E85"/>
      <c r="F85" s="38"/>
      <c r="G85"/>
      <c r="H85" s="38"/>
      <c r="I85"/>
    </row>
    <row r="86" spans="2:9" x14ac:dyDescent="0.25">
      <c r="B86" s="16" t="s">
        <v>250</v>
      </c>
      <c r="C86" s="15"/>
      <c r="H86" s="26"/>
      <c r="I86" s="56"/>
    </row>
    <row r="87" spans="2:9" hidden="1" outlineLevel="1" x14ac:dyDescent="0.25">
      <c r="B87" s="15"/>
      <c r="C87" s="15" t="s">
        <v>247</v>
      </c>
      <c r="E87" s="4">
        <v>720</v>
      </c>
      <c r="G87" s="6">
        <v>400</v>
      </c>
      <c r="H87" s="26"/>
      <c r="I87" s="26">
        <v>400</v>
      </c>
    </row>
    <row r="88" spans="2:9" hidden="1" outlineLevel="1" x14ac:dyDescent="0.25">
      <c r="B88" s="15"/>
      <c r="C88" s="15" t="s">
        <v>20</v>
      </c>
      <c r="E88" s="4">
        <v>500</v>
      </c>
      <c r="G88" s="6">
        <v>300</v>
      </c>
      <c r="H88" s="26"/>
      <c r="I88" s="26">
        <v>300</v>
      </c>
    </row>
    <row r="89" spans="2:9" hidden="1" outlineLevel="1" x14ac:dyDescent="0.25">
      <c r="B89" s="15"/>
      <c r="C89" s="15" t="s">
        <v>249</v>
      </c>
      <c r="E89" s="4">
        <v>200</v>
      </c>
      <c r="G89" s="6">
        <v>150</v>
      </c>
      <c r="H89" s="26"/>
      <c r="I89" s="26">
        <v>150</v>
      </c>
    </row>
    <row r="90" spans="2:9" hidden="1" outlineLevel="1" x14ac:dyDescent="0.25">
      <c r="B90" s="15"/>
      <c r="C90" s="15" t="s">
        <v>248</v>
      </c>
      <c r="E90" s="4">
        <v>150</v>
      </c>
      <c r="G90" s="6">
        <v>100</v>
      </c>
      <c r="H90" s="26"/>
      <c r="I90" s="26">
        <v>100</v>
      </c>
    </row>
    <row r="91" spans="2:9" collapsed="1" x14ac:dyDescent="0.25">
      <c r="B91" s="30"/>
      <c r="C91" s="30"/>
      <c r="D91" s="41"/>
      <c r="E91" s="31">
        <f>(1+$D$448+$D$449)*SUM(E86:E90)</f>
        <v>1742.7</v>
      </c>
      <c r="F91" s="50"/>
      <c r="G91" s="32">
        <f>(1+$D$448+$D$449)*SUM(G86:G90)</f>
        <v>1054.5</v>
      </c>
      <c r="H91" s="53"/>
      <c r="I91" s="33">
        <f>(1+$D$448+$D$449)*SUM(I86:I90)</f>
        <v>1054.5</v>
      </c>
    </row>
    <row r="92" spans="2:9" x14ac:dyDescent="0.25">
      <c r="D92" s="38"/>
      <c r="E92"/>
      <c r="F92" s="38"/>
      <c r="G92"/>
      <c r="H92" s="38"/>
      <c r="I92"/>
    </row>
    <row r="93" spans="2:9" x14ac:dyDescent="0.25">
      <c r="B93" s="16" t="s">
        <v>251</v>
      </c>
      <c r="C93" s="15"/>
      <c r="H93" s="26"/>
      <c r="I93" s="56"/>
    </row>
    <row r="94" spans="2:9" hidden="1" outlineLevel="1" x14ac:dyDescent="0.25">
      <c r="B94" s="15"/>
      <c r="C94" s="15" t="s">
        <v>247</v>
      </c>
      <c r="E94" s="4">
        <v>500</v>
      </c>
      <c r="G94" s="6">
        <v>400</v>
      </c>
      <c r="H94" s="26"/>
      <c r="I94" s="26">
        <v>400</v>
      </c>
    </row>
    <row r="95" spans="2:9" hidden="1" outlineLevel="1" x14ac:dyDescent="0.25">
      <c r="B95" s="15"/>
      <c r="C95" s="15" t="s">
        <v>20</v>
      </c>
      <c r="E95" s="4">
        <v>1000</v>
      </c>
      <c r="G95" s="6">
        <v>700</v>
      </c>
      <c r="H95" s="26"/>
      <c r="I95" s="26">
        <v>700</v>
      </c>
    </row>
    <row r="96" spans="2:9" hidden="1" outlineLevel="1" x14ac:dyDescent="0.25">
      <c r="B96" s="15"/>
      <c r="C96" s="15" t="s">
        <v>249</v>
      </c>
      <c r="E96" s="4">
        <v>200</v>
      </c>
      <c r="G96" s="6">
        <v>150</v>
      </c>
      <c r="H96" s="26"/>
      <c r="I96" s="26">
        <v>150</v>
      </c>
    </row>
    <row r="97" spans="2:9" collapsed="1" x14ac:dyDescent="0.25">
      <c r="B97" s="30"/>
      <c r="C97" s="30"/>
      <c r="D97" s="41"/>
      <c r="E97" s="31">
        <f>(1+$D$448+$D$449)*SUM(E94:E96)</f>
        <v>1887.0000000000002</v>
      </c>
      <c r="F97" s="50"/>
      <c r="G97" s="32">
        <f>(1+$D$448+$D$449)*SUM(G94:G96)</f>
        <v>1387.5000000000002</v>
      </c>
      <c r="H97" s="53"/>
      <c r="I97" s="33">
        <f>(1+$D$448+$D$449)*SUM(I94:I96)</f>
        <v>1387.5000000000002</v>
      </c>
    </row>
    <row r="98" spans="2:9" x14ac:dyDescent="0.25">
      <c r="D98" s="38"/>
      <c r="E98"/>
      <c r="F98" s="38"/>
      <c r="G98"/>
      <c r="H98" s="38"/>
      <c r="I98"/>
    </row>
    <row r="99" spans="2:9" x14ac:dyDescent="0.25">
      <c r="B99" s="16" t="s">
        <v>350</v>
      </c>
      <c r="C99" s="17"/>
      <c r="H99" s="26"/>
      <c r="I99" s="56"/>
    </row>
    <row r="100" spans="2:9" hidden="1" outlineLevel="1" x14ac:dyDescent="0.25">
      <c r="B100" s="15"/>
      <c r="C100" s="15" t="s">
        <v>344</v>
      </c>
      <c r="D100" s="42" t="s">
        <v>345</v>
      </c>
      <c r="E100" s="34">
        <v>900</v>
      </c>
      <c r="F100" s="51" t="s">
        <v>345</v>
      </c>
      <c r="G100" s="35">
        <v>900</v>
      </c>
      <c r="H100" s="36" t="s">
        <v>345</v>
      </c>
      <c r="I100" s="36">
        <v>900</v>
      </c>
    </row>
    <row r="101" spans="2:9" hidden="1" outlineLevel="1" x14ac:dyDescent="0.25">
      <c r="B101" s="15"/>
      <c r="C101" s="15" t="s">
        <v>12</v>
      </c>
      <c r="D101" s="39" t="s">
        <v>346</v>
      </c>
      <c r="E101" s="4">
        <v>600</v>
      </c>
      <c r="F101" s="48" t="s">
        <v>346</v>
      </c>
      <c r="G101" s="6">
        <v>600</v>
      </c>
      <c r="H101" s="26" t="s">
        <v>346</v>
      </c>
      <c r="I101" s="26">
        <v>600</v>
      </c>
    </row>
    <row r="102" spans="2:9" hidden="1" outlineLevel="1" x14ac:dyDescent="0.25">
      <c r="B102" s="15"/>
      <c r="C102" s="15" t="s">
        <v>13</v>
      </c>
      <c r="D102" s="39" t="s">
        <v>348</v>
      </c>
      <c r="E102" s="4">
        <v>150</v>
      </c>
      <c r="G102" s="6">
        <v>150</v>
      </c>
      <c r="H102" s="26"/>
      <c r="I102" s="26">
        <v>150</v>
      </c>
    </row>
    <row r="103" spans="2:9" hidden="1" outlineLevel="1" x14ac:dyDescent="0.25">
      <c r="B103" s="15"/>
      <c r="C103" s="15" t="s">
        <v>14</v>
      </c>
      <c r="D103" s="39" t="s">
        <v>348</v>
      </c>
      <c r="E103" s="4">
        <v>200</v>
      </c>
      <c r="G103" s="6">
        <v>200</v>
      </c>
      <c r="H103" s="26"/>
      <c r="I103" s="26">
        <v>200</v>
      </c>
    </row>
    <row r="104" spans="2:9" hidden="1" outlineLevel="1" x14ac:dyDescent="0.25">
      <c r="B104" s="15"/>
      <c r="C104" s="15" t="s">
        <v>16</v>
      </c>
      <c r="E104" s="4">
        <v>100</v>
      </c>
      <c r="G104" s="6">
        <v>50</v>
      </c>
      <c r="H104" s="26"/>
      <c r="I104" s="26">
        <v>50</v>
      </c>
    </row>
    <row r="105" spans="2:9" hidden="1" outlineLevel="1" x14ac:dyDescent="0.25">
      <c r="B105" s="15"/>
      <c r="C105" s="15" t="s">
        <v>351</v>
      </c>
      <c r="E105" s="4">
        <v>100</v>
      </c>
      <c r="G105" s="6">
        <v>100</v>
      </c>
      <c r="H105" s="26"/>
      <c r="I105" s="26">
        <v>100</v>
      </c>
    </row>
    <row r="106" spans="2:9" hidden="1" outlineLevel="1" x14ac:dyDescent="0.25">
      <c r="B106" s="15"/>
      <c r="C106" s="15" t="s">
        <v>17</v>
      </c>
      <c r="E106" s="4">
        <v>200</v>
      </c>
      <c r="G106" s="6">
        <v>150</v>
      </c>
      <c r="H106" s="26"/>
      <c r="I106" s="26">
        <v>100</v>
      </c>
    </row>
    <row r="107" spans="2:9" collapsed="1" x14ac:dyDescent="0.25">
      <c r="B107" s="30"/>
      <c r="C107" s="30"/>
      <c r="D107" s="41"/>
      <c r="E107" s="31">
        <f>(1+$D$448+$D$449)*SUM(E100:E106)</f>
        <v>2497.5</v>
      </c>
      <c r="F107" s="50"/>
      <c r="G107" s="32">
        <f>(1+$D$448+$D$449)*SUM(G100:G106)</f>
        <v>2386.5</v>
      </c>
      <c r="H107" s="53"/>
      <c r="I107" s="33">
        <f>(1+$D$448+$D$449)*SUM(I100:I106)</f>
        <v>2331</v>
      </c>
    </row>
    <row r="108" spans="2:9" x14ac:dyDescent="0.25">
      <c r="B108"/>
      <c r="D108" s="38"/>
      <c r="E108"/>
      <c r="F108" s="38"/>
      <c r="G108"/>
      <c r="H108" s="38"/>
      <c r="I108"/>
    </row>
    <row r="109" spans="2:9" x14ac:dyDescent="0.25">
      <c r="B109" s="16" t="s">
        <v>287</v>
      </c>
      <c r="C109" s="15"/>
      <c r="H109" s="26"/>
      <c r="I109" s="56"/>
    </row>
    <row r="110" spans="2:9" hidden="1" outlineLevel="1" x14ac:dyDescent="0.25">
      <c r="B110" s="15"/>
      <c r="C110" s="15" t="s">
        <v>20</v>
      </c>
      <c r="D110" s="39" t="s">
        <v>222</v>
      </c>
      <c r="E110" s="4">
        <v>1000</v>
      </c>
      <c r="F110" s="48" t="s">
        <v>223</v>
      </c>
      <c r="G110" s="6">
        <v>600</v>
      </c>
      <c r="H110" s="26" t="s">
        <v>223</v>
      </c>
      <c r="I110" s="26">
        <v>600</v>
      </c>
    </row>
    <row r="111" spans="2:9" hidden="1" outlineLevel="1" x14ac:dyDescent="0.25">
      <c r="B111" s="15"/>
      <c r="C111" s="15" t="s">
        <v>18</v>
      </c>
      <c r="E111" s="4">
        <v>150</v>
      </c>
      <c r="G111" s="6">
        <v>100</v>
      </c>
      <c r="H111" s="26"/>
      <c r="I111" s="26">
        <v>100</v>
      </c>
    </row>
    <row r="112" spans="2:9" hidden="1" outlineLevel="1" x14ac:dyDescent="0.25">
      <c r="B112" s="15"/>
      <c r="C112" s="15" t="s">
        <v>19</v>
      </c>
      <c r="E112" s="4">
        <v>200</v>
      </c>
      <c r="G112" s="6">
        <v>150</v>
      </c>
      <c r="H112" s="26"/>
      <c r="I112" s="26">
        <v>150</v>
      </c>
    </row>
    <row r="113" spans="2:9" collapsed="1" x14ac:dyDescent="0.25">
      <c r="B113" s="30"/>
      <c r="C113" s="30"/>
      <c r="D113" s="41"/>
      <c r="E113" s="31">
        <f>(1+$D$448+$D$449)*SUM(E110:E112)</f>
        <v>1498.5000000000002</v>
      </c>
      <c r="F113" s="50"/>
      <c r="G113" s="32">
        <f>(1+$D$448+$D$449)*SUM(G110:G112)</f>
        <v>943.50000000000011</v>
      </c>
      <c r="H113" s="53"/>
      <c r="I113" s="33">
        <f>(1+$D$448+$D$449)*SUM(I110:I112)</f>
        <v>943.50000000000011</v>
      </c>
    </row>
    <row r="114" spans="2:9" x14ac:dyDescent="0.25">
      <c r="D114" s="9"/>
      <c r="E114" s="9"/>
      <c r="F114" s="9"/>
      <c r="G114" s="9"/>
      <c r="H114" s="9"/>
      <c r="I114" s="9"/>
    </row>
    <row r="115" spans="2:9" x14ac:dyDescent="0.25">
      <c r="B115" s="16" t="s">
        <v>353</v>
      </c>
      <c r="C115" s="17"/>
      <c r="H115" s="26"/>
      <c r="I115" s="56"/>
    </row>
    <row r="116" spans="2:9" hidden="1" outlineLevel="1" x14ac:dyDescent="0.25">
      <c r="B116" s="15"/>
      <c r="C116" s="15" t="s">
        <v>12</v>
      </c>
      <c r="D116" s="39" t="s">
        <v>347</v>
      </c>
      <c r="E116" s="4">
        <v>1200</v>
      </c>
      <c r="F116" s="48" t="s">
        <v>347</v>
      </c>
      <c r="G116" s="6">
        <v>1200</v>
      </c>
      <c r="H116" s="26" t="s">
        <v>347</v>
      </c>
      <c r="I116" s="26">
        <v>1200</v>
      </c>
    </row>
    <row r="117" spans="2:9" hidden="1" outlineLevel="1" x14ac:dyDescent="0.25">
      <c r="B117" s="15"/>
      <c r="C117" s="15" t="s">
        <v>13</v>
      </c>
      <c r="D117" s="39" t="s">
        <v>349</v>
      </c>
      <c r="E117" s="4">
        <v>300</v>
      </c>
      <c r="G117" s="6">
        <v>300</v>
      </c>
      <c r="H117" s="26"/>
      <c r="I117" s="26">
        <v>300</v>
      </c>
    </row>
    <row r="118" spans="2:9" hidden="1" outlineLevel="1" x14ac:dyDescent="0.25">
      <c r="B118" s="15"/>
      <c r="C118" s="15" t="s">
        <v>15</v>
      </c>
      <c r="E118" s="4">
        <v>180</v>
      </c>
      <c r="G118" s="6">
        <v>180</v>
      </c>
      <c r="H118" s="26"/>
      <c r="I118" s="26">
        <v>180</v>
      </c>
    </row>
    <row r="119" spans="2:9" hidden="1" outlineLevel="1" x14ac:dyDescent="0.25">
      <c r="B119" s="15"/>
      <c r="C119" s="15" t="s">
        <v>351</v>
      </c>
      <c r="E119" s="4">
        <v>150</v>
      </c>
      <c r="G119" s="6">
        <v>150</v>
      </c>
      <c r="H119" s="26"/>
      <c r="I119" s="26">
        <v>150</v>
      </c>
    </row>
    <row r="120" spans="2:9" hidden="1" outlineLevel="1" x14ac:dyDescent="0.25">
      <c r="B120" s="15"/>
      <c r="C120" s="15" t="s">
        <v>352</v>
      </c>
      <c r="E120" s="4">
        <v>200</v>
      </c>
      <c r="G120" s="6">
        <v>150</v>
      </c>
      <c r="H120" s="26"/>
      <c r="I120" s="26">
        <v>100</v>
      </c>
    </row>
    <row r="121" spans="2:9" hidden="1" outlineLevel="1" x14ac:dyDescent="0.25">
      <c r="B121" s="15"/>
      <c r="C121" s="15" t="s">
        <v>17</v>
      </c>
      <c r="E121" s="4">
        <v>300</v>
      </c>
      <c r="G121" s="6">
        <v>200</v>
      </c>
      <c r="H121" s="26"/>
      <c r="I121" s="26">
        <v>150</v>
      </c>
    </row>
    <row r="122" spans="2:9" collapsed="1" x14ac:dyDescent="0.25">
      <c r="B122" s="30"/>
      <c r="C122" s="30"/>
      <c r="D122" s="41"/>
      <c r="E122" s="31">
        <f>(1+$D$448+$D$449)*SUM(E116:E121)</f>
        <v>2586.3000000000002</v>
      </c>
      <c r="F122" s="50"/>
      <c r="G122" s="32">
        <f>(1+$D$448+$D$449)*SUM(G116:G121)</f>
        <v>2419.8000000000002</v>
      </c>
      <c r="H122" s="53"/>
      <c r="I122" s="33">
        <f>(1+$D$448+$D$449)*SUM(I116:I121)</f>
        <v>2308.8000000000002</v>
      </c>
    </row>
    <row r="123" spans="2:9" x14ac:dyDescent="0.25">
      <c r="B123"/>
      <c r="D123" s="38"/>
      <c r="E123"/>
      <c r="F123" s="38"/>
      <c r="G123"/>
      <c r="H123" s="38"/>
      <c r="I123"/>
    </row>
    <row r="124" spans="2:9" x14ac:dyDescent="0.25">
      <c r="B124" s="20" t="s">
        <v>281</v>
      </c>
      <c r="C124" s="22"/>
      <c r="D124" s="21"/>
      <c r="E124" s="21"/>
      <c r="F124" s="21"/>
      <c r="G124" s="21"/>
      <c r="H124" s="21"/>
      <c r="I124" s="21"/>
    </row>
    <row r="125" spans="2:9" x14ac:dyDescent="0.25">
      <c r="D125" s="38"/>
      <c r="E125"/>
      <c r="F125" s="38"/>
      <c r="G125"/>
      <c r="H125" s="38"/>
      <c r="I125"/>
    </row>
    <row r="126" spans="2:9" x14ac:dyDescent="0.25">
      <c r="B126" s="16" t="s">
        <v>288</v>
      </c>
      <c r="C126" s="15"/>
      <c r="H126" s="26"/>
      <c r="I126" s="56"/>
    </row>
    <row r="127" spans="2:9" hidden="1" outlineLevel="1" x14ac:dyDescent="0.25">
      <c r="B127" s="15"/>
      <c r="C127" s="15" t="s">
        <v>289</v>
      </c>
      <c r="D127" s="39" t="s">
        <v>290</v>
      </c>
      <c r="E127" s="4">
        <v>4850</v>
      </c>
      <c r="F127" s="48" t="s">
        <v>291</v>
      </c>
      <c r="G127" s="6">
        <v>3035</v>
      </c>
      <c r="H127" s="26" t="s">
        <v>342</v>
      </c>
      <c r="I127" s="26">
        <v>1500</v>
      </c>
    </row>
    <row r="128" spans="2:9" hidden="1" outlineLevel="1" x14ac:dyDescent="0.25">
      <c r="B128" s="15"/>
      <c r="C128" s="15" t="s">
        <v>297</v>
      </c>
      <c r="D128" s="39" t="s">
        <v>295</v>
      </c>
      <c r="E128" s="4">
        <v>2300</v>
      </c>
      <c r="F128" s="48" t="s">
        <v>294</v>
      </c>
      <c r="G128" s="6">
        <v>1500</v>
      </c>
      <c r="H128" s="26" t="s">
        <v>343</v>
      </c>
      <c r="I128" s="26">
        <v>1300</v>
      </c>
    </row>
    <row r="129" spans="2:9" hidden="1" outlineLevel="1" x14ac:dyDescent="0.25">
      <c r="B129" s="15"/>
      <c r="C129" s="15" t="s">
        <v>296</v>
      </c>
      <c r="E129" s="4">
        <v>250</v>
      </c>
      <c r="G129" s="6">
        <v>200</v>
      </c>
      <c r="H129" s="26"/>
      <c r="I129" s="26">
        <v>200</v>
      </c>
    </row>
    <row r="130" spans="2:9" collapsed="1" x14ac:dyDescent="0.25">
      <c r="B130" s="30"/>
      <c r="C130" s="30"/>
      <c r="D130" s="41"/>
      <c r="E130" s="31">
        <f>(1+$D$448+$D$449)*SUM(E127:E129)</f>
        <v>8214</v>
      </c>
      <c r="F130" s="50"/>
      <c r="G130" s="32">
        <f>(1+$D$448+$D$449)*SUM(G127:G129)</f>
        <v>5255.85</v>
      </c>
      <c r="H130" s="53"/>
      <c r="I130" s="33">
        <f>(1+$D$448+$D$449)*SUM(I127:I129)</f>
        <v>3330.0000000000005</v>
      </c>
    </row>
    <row r="131" spans="2:9" x14ac:dyDescent="0.25">
      <c r="D131" s="38"/>
      <c r="E131"/>
      <c r="F131" s="38"/>
      <c r="G131"/>
      <c r="H131" s="38"/>
      <c r="I131"/>
    </row>
    <row r="132" spans="2:9" x14ac:dyDescent="0.25">
      <c r="B132" s="16" t="s">
        <v>170</v>
      </c>
      <c r="C132" s="15"/>
      <c r="H132" s="26"/>
      <c r="I132" s="26"/>
    </row>
    <row r="133" spans="2:9" hidden="1" outlineLevel="1" x14ac:dyDescent="0.25">
      <c r="B133" s="15"/>
      <c r="C133" s="15" t="s">
        <v>336</v>
      </c>
      <c r="E133" s="4">
        <v>40</v>
      </c>
      <c r="G133" s="6">
        <v>25</v>
      </c>
      <c r="H133" s="26"/>
      <c r="I133" s="26">
        <v>25</v>
      </c>
    </row>
    <row r="134" spans="2:9" hidden="1" outlineLevel="1" x14ac:dyDescent="0.25">
      <c r="B134" s="15"/>
      <c r="C134" s="15" t="s">
        <v>292</v>
      </c>
      <c r="E134" s="4">
        <v>70</v>
      </c>
      <c r="G134" s="6">
        <v>50</v>
      </c>
      <c r="H134" s="26"/>
      <c r="I134" s="26">
        <v>50</v>
      </c>
    </row>
    <row r="135" spans="2:9" hidden="1" outlineLevel="1" x14ac:dyDescent="0.25">
      <c r="B135" s="15"/>
      <c r="C135" s="15" t="s">
        <v>183</v>
      </c>
      <c r="E135" s="4">
        <v>50</v>
      </c>
      <c r="G135" s="6">
        <v>50</v>
      </c>
      <c r="H135" s="26"/>
      <c r="I135" s="26">
        <v>50</v>
      </c>
    </row>
    <row r="136" spans="2:9" hidden="1" outlineLevel="1" x14ac:dyDescent="0.25">
      <c r="B136" s="15"/>
      <c r="C136" s="15" t="s">
        <v>171</v>
      </c>
      <c r="E136" s="4">
        <v>60</v>
      </c>
      <c r="G136" s="6">
        <v>60</v>
      </c>
      <c r="H136" s="26"/>
      <c r="I136" s="26">
        <v>60</v>
      </c>
    </row>
    <row r="137" spans="2:9" hidden="1" outlineLevel="1" x14ac:dyDescent="0.25">
      <c r="B137" s="15"/>
      <c r="C137" s="15" t="s">
        <v>300</v>
      </c>
      <c r="E137" s="4">
        <v>50</v>
      </c>
      <c r="G137" s="6">
        <v>30</v>
      </c>
      <c r="H137" s="26"/>
      <c r="I137" s="26">
        <v>30</v>
      </c>
    </row>
    <row r="138" spans="2:9" hidden="1" outlineLevel="1" x14ac:dyDescent="0.25">
      <c r="B138" s="15"/>
      <c r="C138" s="15" t="s">
        <v>301</v>
      </c>
      <c r="E138" s="4">
        <v>300</v>
      </c>
      <c r="G138" s="6">
        <v>200</v>
      </c>
      <c r="H138" s="26"/>
      <c r="I138" s="26">
        <v>200</v>
      </c>
    </row>
    <row r="139" spans="2:9" hidden="1" outlineLevel="1" x14ac:dyDescent="0.25">
      <c r="B139" s="15"/>
      <c r="C139" s="15" t="s">
        <v>304</v>
      </c>
      <c r="E139" s="4">
        <v>60</v>
      </c>
      <c r="G139" s="6">
        <v>40</v>
      </c>
      <c r="H139" s="26"/>
      <c r="I139" s="26">
        <v>40</v>
      </c>
    </row>
    <row r="140" spans="2:9" hidden="1" outlineLevel="1" x14ac:dyDescent="0.25">
      <c r="B140" s="15"/>
      <c r="C140" s="15" t="s">
        <v>172</v>
      </c>
      <c r="E140" s="4">
        <v>100</v>
      </c>
      <c r="G140" s="6">
        <v>100</v>
      </c>
      <c r="H140" s="26"/>
      <c r="I140" s="26">
        <v>0</v>
      </c>
    </row>
    <row r="141" spans="2:9" collapsed="1" x14ac:dyDescent="0.25">
      <c r="B141" s="30"/>
      <c r="C141" s="30"/>
      <c r="D141" s="41"/>
      <c r="E141" s="31">
        <f>(1+$D$448+$D$449)*SUM(E133:E140)</f>
        <v>810.30000000000007</v>
      </c>
      <c r="F141" s="50"/>
      <c r="G141" s="32">
        <f>(1+$D$448+$D$449)*SUM(G133:G140)</f>
        <v>616.05000000000007</v>
      </c>
      <c r="H141" s="53"/>
      <c r="I141" s="33">
        <f>(1+$D$448+$D$449)*SUM(I133:I140)</f>
        <v>505.05000000000007</v>
      </c>
    </row>
    <row r="142" spans="2:9" x14ac:dyDescent="0.25">
      <c r="B142"/>
      <c r="D142" s="38"/>
      <c r="E142"/>
      <c r="F142" s="38"/>
      <c r="G142"/>
      <c r="H142" s="38"/>
      <c r="I142"/>
    </row>
    <row r="143" spans="2:9" x14ac:dyDescent="0.25">
      <c r="B143" s="20" t="s">
        <v>277</v>
      </c>
      <c r="C143" s="22"/>
      <c r="D143" s="21"/>
      <c r="E143" s="21"/>
      <c r="F143" s="21"/>
      <c r="G143" s="21"/>
      <c r="H143" s="21"/>
      <c r="I143" s="21"/>
    </row>
    <row r="144" spans="2:9" x14ac:dyDescent="0.25">
      <c r="D144" s="38"/>
      <c r="E144"/>
      <c r="F144" s="38"/>
      <c r="G144"/>
      <c r="H144" s="38"/>
      <c r="I144"/>
    </row>
    <row r="145" spans="2:9" x14ac:dyDescent="0.25">
      <c r="B145" s="16" t="s">
        <v>216</v>
      </c>
      <c r="C145" s="15"/>
      <c r="H145" s="26"/>
      <c r="I145" s="26"/>
    </row>
    <row r="146" spans="2:9" hidden="1" outlineLevel="1" x14ac:dyDescent="0.25">
      <c r="B146" s="15"/>
      <c r="C146" s="15" t="s">
        <v>23</v>
      </c>
      <c r="E146" s="4">
        <v>1400</v>
      </c>
      <c r="G146" s="6">
        <v>1400</v>
      </c>
      <c r="H146" s="26"/>
      <c r="I146" s="26">
        <v>1400</v>
      </c>
    </row>
    <row r="147" spans="2:9" hidden="1" outlineLevel="1" x14ac:dyDescent="0.25">
      <c r="B147" s="15"/>
      <c r="C147" s="15" t="s">
        <v>24</v>
      </c>
      <c r="E147" s="4">
        <v>350</v>
      </c>
      <c r="G147" s="6">
        <v>350</v>
      </c>
      <c r="H147" s="26"/>
      <c r="I147" s="26">
        <v>350</v>
      </c>
    </row>
    <row r="148" spans="2:9" hidden="1" outlineLevel="1" x14ac:dyDescent="0.25">
      <c r="B148" s="15"/>
      <c r="C148" s="15" t="s">
        <v>25</v>
      </c>
      <c r="E148" s="4">
        <v>150</v>
      </c>
      <c r="G148" s="6">
        <v>100</v>
      </c>
      <c r="H148" s="26"/>
      <c r="I148" s="26">
        <v>100</v>
      </c>
    </row>
    <row r="149" spans="2:9" collapsed="1" x14ac:dyDescent="0.25">
      <c r="B149" s="30"/>
      <c r="C149" s="30"/>
      <c r="D149" s="41"/>
      <c r="E149" s="31">
        <f>(1+$D$448+$D$449)*SUM(E146:E148)</f>
        <v>2109</v>
      </c>
      <c r="F149" s="50"/>
      <c r="G149" s="32">
        <f>(1+$D$448+$D$449)*SUM(G146:G148)</f>
        <v>2053.5</v>
      </c>
      <c r="H149" s="53"/>
      <c r="I149" s="33">
        <f>(1+$D$448+$D$449)*SUM(I146:I148)</f>
        <v>2053.5</v>
      </c>
    </row>
    <row r="150" spans="2:9" x14ac:dyDescent="0.25">
      <c r="B150"/>
      <c r="D150" s="38"/>
      <c r="E150"/>
      <c r="F150" s="38"/>
      <c r="G150"/>
      <c r="H150" s="38"/>
      <c r="I150"/>
    </row>
    <row r="151" spans="2:9" x14ac:dyDescent="0.25">
      <c r="B151" s="20" t="s">
        <v>278</v>
      </c>
      <c r="C151" s="22"/>
      <c r="D151" s="21"/>
      <c r="E151" s="21"/>
      <c r="F151" s="21"/>
      <c r="G151" s="21"/>
      <c r="H151" s="21"/>
      <c r="I151" s="21"/>
    </row>
    <row r="152" spans="2:9" x14ac:dyDescent="0.25">
      <c r="D152" s="38"/>
      <c r="E152"/>
      <c r="F152" s="38"/>
      <c r="G152"/>
      <c r="H152" s="38"/>
      <c r="I152"/>
    </row>
    <row r="153" spans="2:9" x14ac:dyDescent="0.25">
      <c r="B153" s="16" t="s">
        <v>217</v>
      </c>
      <c r="C153" s="15"/>
      <c r="H153" s="26"/>
      <c r="I153" s="26"/>
    </row>
    <row r="154" spans="2:9" hidden="1" outlineLevel="1" x14ac:dyDescent="0.25">
      <c r="B154" s="15"/>
      <c r="C154" s="15" t="s">
        <v>218</v>
      </c>
      <c r="D154" s="39" t="s">
        <v>220</v>
      </c>
      <c r="E154" s="4">
        <v>1300</v>
      </c>
      <c r="F154" s="48" t="s">
        <v>221</v>
      </c>
      <c r="G154" s="6">
        <v>900</v>
      </c>
      <c r="H154" s="26" t="s">
        <v>221</v>
      </c>
      <c r="I154" s="26">
        <v>900</v>
      </c>
    </row>
    <row r="155" spans="2:9" hidden="1" outlineLevel="1" x14ac:dyDescent="0.25">
      <c r="B155" s="15"/>
      <c r="C155" s="15" t="s">
        <v>230</v>
      </c>
      <c r="D155" s="39" t="s">
        <v>231</v>
      </c>
      <c r="E155" s="4">
        <v>630</v>
      </c>
      <c r="F155" s="48" t="s">
        <v>219</v>
      </c>
      <c r="G155" s="6">
        <v>400</v>
      </c>
      <c r="H155" s="26" t="s">
        <v>219</v>
      </c>
      <c r="I155" s="26">
        <v>0</v>
      </c>
    </row>
    <row r="156" spans="2:9" hidden="1" outlineLevel="1" x14ac:dyDescent="0.25">
      <c r="B156" s="15"/>
      <c r="C156" s="15" t="s">
        <v>241</v>
      </c>
      <c r="E156" s="4">
        <v>200</v>
      </c>
      <c r="G156" s="6">
        <v>100</v>
      </c>
      <c r="H156" s="26"/>
      <c r="I156" s="26">
        <v>100</v>
      </c>
    </row>
    <row r="157" spans="2:9" hidden="1" outlineLevel="1" x14ac:dyDescent="0.25">
      <c r="B157" s="15"/>
      <c r="C157" s="15" t="s">
        <v>523</v>
      </c>
      <c r="E157" s="4">
        <v>250</v>
      </c>
      <c r="G157" s="6">
        <v>250</v>
      </c>
      <c r="H157" s="26"/>
      <c r="I157" s="26">
        <v>0</v>
      </c>
    </row>
    <row r="158" spans="2:9" collapsed="1" x14ac:dyDescent="0.25">
      <c r="B158" s="30"/>
      <c r="C158" s="30"/>
      <c r="D158" s="41"/>
      <c r="E158" s="31">
        <f>(1+$D$448+$D$449)*SUM(E154:E157)</f>
        <v>2641.8</v>
      </c>
      <c r="F158" s="50"/>
      <c r="G158" s="32">
        <f>(1+$D$448+$D$449)*SUM(G154:G157)</f>
        <v>1831.5000000000002</v>
      </c>
      <c r="H158" s="53"/>
      <c r="I158" s="33">
        <f>(1+$D$448+$D$449)*SUM(I154:I157)</f>
        <v>1110</v>
      </c>
    </row>
    <row r="159" spans="2:9" x14ac:dyDescent="0.25">
      <c r="D159" s="38"/>
      <c r="E159"/>
      <c r="F159" s="38"/>
      <c r="G159"/>
      <c r="H159" s="38"/>
      <c r="I159"/>
    </row>
    <row r="160" spans="2:9" x14ac:dyDescent="0.25">
      <c r="B160" s="16" t="s">
        <v>498</v>
      </c>
      <c r="C160" s="15"/>
      <c r="H160" s="26"/>
      <c r="I160" s="26"/>
    </row>
    <row r="161" spans="2:9" hidden="1" outlineLevel="1" x14ac:dyDescent="0.25">
      <c r="B161" s="15"/>
      <c r="C161" s="15" t="s">
        <v>29</v>
      </c>
      <c r="D161" s="39" t="s">
        <v>283</v>
      </c>
      <c r="E161" s="4">
        <v>2800</v>
      </c>
      <c r="F161" s="48" t="s">
        <v>284</v>
      </c>
      <c r="G161" s="6">
        <v>2000</v>
      </c>
      <c r="H161" s="26" t="s">
        <v>284</v>
      </c>
      <c r="I161" s="26">
        <v>2000</v>
      </c>
    </row>
    <row r="162" spans="2:9" hidden="1" outlineLevel="1" x14ac:dyDescent="0.25">
      <c r="B162" s="15"/>
      <c r="C162" s="15" t="s">
        <v>21</v>
      </c>
      <c r="E162" s="4">
        <v>300</v>
      </c>
      <c r="G162" s="6">
        <v>200</v>
      </c>
      <c r="H162" s="26"/>
      <c r="I162" s="26">
        <v>200</v>
      </c>
    </row>
    <row r="163" spans="2:9" hidden="1" outlineLevel="1" x14ac:dyDescent="0.25">
      <c r="B163" s="15"/>
      <c r="C163" s="15" t="s">
        <v>22</v>
      </c>
      <c r="E163" s="4">
        <v>200</v>
      </c>
      <c r="G163" s="6">
        <v>100</v>
      </c>
      <c r="H163" s="26"/>
      <c r="I163" s="26">
        <v>100</v>
      </c>
    </row>
    <row r="164" spans="2:9" hidden="1" outlineLevel="1" x14ac:dyDescent="0.25">
      <c r="B164" s="15"/>
      <c r="C164" s="15" t="s">
        <v>517</v>
      </c>
      <c r="D164" s="39" t="s">
        <v>524</v>
      </c>
      <c r="E164" s="4">
        <v>150</v>
      </c>
      <c r="F164" s="48" t="s">
        <v>524</v>
      </c>
      <c r="G164" s="6">
        <v>150</v>
      </c>
      <c r="H164" s="26"/>
      <c r="I164" s="26">
        <v>0</v>
      </c>
    </row>
    <row r="165" spans="2:9" hidden="1" outlineLevel="1" x14ac:dyDescent="0.25">
      <c r="B165" s="15"/>
      <c r="C165" s="15" t="s">
        <v>518</v>
      </c>
      <c r="D165" s="39" t="s">
        <v>522</v>
      </c>
      <c r="E165" s="4">
        <v>0</v>
      </c>
      <c r="F165" s="48" t="s">
        <v>522</v>
      </c>
      <c r="G165" s="6">
        <v>0</v>
      </c>
      <c r="H165" s="26" t="s">
        <v>519</v>
      </c>
      <c r="I165" s="26">
        <v>120</v>
      </c>
    </row>
    <row r="166" spans="2:9" collapsed="1" x14ac:dyDescent="0.25">
      <c r="B166" s="30"/>
      <c r="C166" s="30"/>
      <c r="D166" s="41"/>
      <c r="E166" s="31">
        <f>(1+$D$448+$D$449)*SUM(E161:E165)</f>
        <v>3829.5000000000005</v>
      </c>
      <c r="F166" s="50"/>
      <c r="G166" s="32">
        <f>(1+$D$448+$D$449)*SUM(G161:G165)</f>
        <v>2719.5000000000005</v>
      </c>
      <c r="H166" s="53"/>
      <c r="I166" s="33">
        <f>(1+$D$448+$D$449)*SUM(I161:I165)</f>
        <v>2686.2000000000003</v>
      </c>
    </row>
    <row r="167" spans="2:9" x14ac:dyDescent="0.25">
      <c r="D167" s="38"/>
      <c r="E167"/>
      <c r="F167" s="38"/>
      <c r="G167"/>
      <c r="H167" s="38"/>
      <c r="I167"/>
    </row>
    <row r="168" spans="2:9" x14ac:dyDescent="0.25">
      <c r="B168" s="16" t="s">
        <v>499</v>
      </c>
      <c r="C168" s="15"/>
      <c r="H168" s="26"/>
      <c r="I168" s="26"/>
    </row>
    <row r="169" spans="2:9" hidden="1" outlineLevel="1" x14ac:dyDescent="0.25">
      <c r="B169" s="15"/>
      <c r="C169" s="15" t="s">
        <v>239</v>
      </c>
      <c r="E169" s="4">
        <v>400</v>
      </c>
      <c r="G169" s="6">
        <v>300</v>
      </c>
      <c r="H169" s="26"/>
      <c r="I169" s="26">
        <v>300</v>
      </c>
    </row>
    <row r="170" spans="2:9" hidden="1" outlineLevel="1" x14ac:dyDescent="0.25">
      <c r="B170" s="15"/>
      <c r="C170" s="15" t="s">
        <v>240</v>
      </c>
      <c r="E170" s="4">
        <v>120</v>
      </c>
      <c r="G170" s="6">
        <v>120</v>
      </c>
      <c r="H170" s="26"/>
      <c r="I170" s="26">
        <v>120</v>
      </c>
    </row>
    <row r="171" spans="2:9" hidden="1" outlineLevel="1" x14ac:dyDescent="0.25">
      <c r="B171" s="15"/>
      <c r="C171" s="15" t="s">
        <v>241</v>
      </c>
      <c r="E171" s="4">
        <v>300</v>
      </c>
      <c r="G171" s="6">
        <v>200</v>
      </c>
      <c r="H171" s="26"/>
      <c r="I171" s="26">
        <v>200</v>
      </c>
    </row>
    <row r="172" spans="2:9" collapsed="1" x14ac:dyDescent="0.25">
      <c r="B172" s="30"/>
      <c r="C172" s="30"/>
      <c r="D172" s="41"/>
      <c r="E172" s="31">
        <f>(1+$D$448+$D$449)*SUM(E169:E171)</f>
        <v>910.2</v>
      </c>
      <c r="F172" s="50"/>
      <c r="G172" s="32">
        <f>(1+$D$448+$D$449)*SUM(G169:G171)</f>
        <v>688.2</v>
      </c>
      <c r="H172" s="53"/>
      <c r="I172" s="33">
        <f>(1+$D$448+$D$449)*SUM(I169:I171)</f>
        <v>688.2</v>
      </c>
    </row>
    <row r="173" spans="2:9" x14ac:dyDescent="0.25">
      <c r="D173" s="38"/>
      <c r="E173"/>
      <c r="F173" s="38"/>
      <c r="G173"/>
      <c r="H173" s="38"/>
      <c r="I173"/>
    </row>
    <row r="174" spans="2:9" x14ac:dyDescent="0.25">
      <c r="B174" s="20" t="s">
        <v>279</v>
      </c>
      <c r="C174" s="22"/>
      <c r="D174" s="21"/>
      <c r="E174" s="21"/>
      <c r="F174" s="21"/>
      <c r="G174" s="21"/>
      <c r="H174" s="21"/>
      <c r="I174" s="21"/>
    </row>
    <row r="175" spans="2:9" x14ac:dyDescent="0.25">
      <c r="D175" s="38"/>
      <c r="E175"/>
      <c r="F175" s="38"/>
      <c r="G175"/>
      <c r="H175" s="38"/>
      <c r="I175"/>
    </row>
    <row r="176" spans="2:9" x14ac:dyDescent="0.25">
      <c r="B176" s="16" t="s">
        <v>34</v>
      </c>
      <c r="C176" s="15"/>
      <c r="H176" s="26"/>
      <c r="I176" s="26"/>
    </row>
    <row r="177" spans="2:11" hidden="1" outlineLevel="1" x14ac:dyDescent="0.25">
      <c r="B177" s="15"/>
      <c r="C177" s="15" t="s">
        <v>32</v>
      </c>
      <c r="E177" s="4">
        <v>130</v>
      </c>
      <c r="G177" s="6">
        <v>60</v>
      </c>
      <c r="H177" s="26"/>
      <c r="I177" s="26">
        <v>60</v>
      </c>
    </row>
    <row r="178" spans="2:11" hidden="1" outlineLevel="1" x14ac:dyDescent="0.25">
      <c r="B178" s="15"/>
      <c r="C178" s="15" t="s">
        <v>33</v>
      </c>
      <c r="E178" s="4">
        <v>140</v>
      </c>
      <c r="G178" s="6">
        <v>60</v>
      </c>
      <c r="H178" s="26"/>
      <c r="I178" s="26">
        <v>0</v>
      </c>
    </row>
    <row r="179" spans="2:11" hidden="1" outlineLevel="1" x14ac:dyDescent="0.25">
      <c r="B179" s="15"/>
      <c r="C179" s="15" t="s">
        <v>36</v>
      </c>
      <c r="E179" s="4">
        <v>140</v>
      </c>
      <c r="G179" s="6">
        <v>80</v>
      </c>
      <c r="H179" s="26"/>
      <c r="I179" s="26">
        <v>80</v>
      </c>
      <c r="K179" s="3"/>
    </row>
    <row r="180" spans="2:11" hidden="1" outlineLevel="1" x14ac:dyDescent="0.25">
      <c r="B180" s="15"/>
      <c r="C180" s="15" t="s">
        <v>37</v>
      </c>
      <c r="E180" s="4">
        <v>100</v>
      </c>
      <c r="G180" s="6">
        <v>70</v>
      </c>
      <c r="H180" s="26"/>
      <c r="I180" s="26">
        <v>70</v>
      </c>
      <c r="K180" s="3"/>
    </row>
    <row r="181" spans="2:11" hidden="1" outlineLevel="1" x14ac:dyDescent="0.25">
      <c r="B181" s="15"/>
      <c r="C181" s="15" t="s">
        <v>43</v>
      </c>
      <c r="E181" s="4">
        <v>150</v>
      </c>
      <c r="G181" s="6">
        <v>85</v>
      </c>
      <c r="H181" s="26"/>
      <c r="I181" s="26">
        <v>85</v>
      </c>
      <c r="K181" s="3"/>
    </row>
    <row r="182" spans="2:11" hidden="1" outlineLevel="1" x14ac:dyDescent="0.25">
      <c r="B182" s="15"/>
      <c r="C182" s="15" t="s">
        <v>38</v>
      </c>
      <c r="E182" s="4">
        <v>130</v>
      </c>
      <c r="G182" s="6">
        <v>60</v>
      </c>
      <c r="H182" s="26"/>
      <c r="I182" s="26">
        <v>60</v>
      </c>
      <c r="K182" s="3"/>
    </row>
    <row r="183" spans="2:11" hidden="1" outlineLevel="1" x14ac:dyDescent="0.25">
      <c r="B183" s="15"/>
      <c r="C183" s="15" t="s">
        <v>48</v>
      </c>
      <c r="E183" s="4">
        <v>55</v>
      </c>
      <c r="G183" s="6">
        <v>60</v>
      </c>
      <c r="H183" s="26"/>
      <c r="I183" s="26">
        <v>0</v>
      </c>
      <c r="K183" s="3"/>
    </row>
    <row r="184" spans="2:11" hidden="1" outlineLevel="1" x14ac:dyDescent="0.25">
      <c r="B184" s="15"/>
      <c r="C184" s="15" t="s">
        <v>62</v>
      </c>
      <c r="E184" s="4">
        <v>55</v>
      </c>
      <c r="G184" s="6">
        <v>50</v>
      </c>
      <c r="H184" s="26"/>
      <c r="I184" s="26">
        <v>50</v>
      </c>
      <c r="K184" s="3"/>
    </row>
    <row r="185" spans="2:11" hidden="1" outlineLevel="1" x14ac:dyDescent="0.25">
      <c r="B185" s="15"/>
      <c r="C185" s="15" t="s">
        <v>63</v>
      </c>
      <c r="E185" s="4">
        <v>80</v>
      </c>
      <c r="G185" s="6">
        <v>80</v>
      </c>
      <c r="H185" s="26"/>
      <c r="I185" s="26">
        <v>0</v>
      </c>
      <c r="K185" s="3"/>
    </row>
    <row r="186" spans="2:11" hidden="1" outlineLevel="1" x14ac:dyDescent="0.25">
      <c r="B186" s="15"/>
      <c r="C186" s="15" t="s">
        <v>64</v>
      </c>
      <c r="E186" s="4">
        <v>50</v>
      </c>
      <c r="G186" s="6">
        <v>30</v>
      </c>
      <c r="H186" s="26"/>
      <c r="I186" s="26">
        <v>30</v>
      </c>
      <c r="K186" s="3"/>
    </row>
    <row r="187" spans="2:11" hidden="1" outlineLevel="1" x14ac:dyDescent="0.25">
      <c r="B187" s="15"/>
      <c r="C187" s="15" t="s">
        <v>35</v>
      </c>
      <c r="E187" s="4">
        <v>150</v>
      </c>
      <c r="G187" s="6">
        <v>60</v>
      </c>
      <c r="H187" s="26"/>
      <c r="I187" s="26">
        <v>60</v>
      </c>
      <c r="K187" s="3"/>
    </row>
    <row r="188" spans="2:11" hidden="1" outlineLevel="1" x14ac:dyDescent="0.25">
      <c r="B188" s="15"/>
      <c r="C188" s="15" t="s">
        <v>39</v>
      </c>
      <c r="E188" s="4">
        <v>25</v>
      </c>
      <c r="G188" s="6">
        <v>25</v>
      </c>
      <c r="H188" s="26"/>
      <c r="I188" s="26">
        <v>25</v>
      </c>
    </row>
    <row r="189" spans="2:11" hidden="1" outlineLevel="1" x14ac:dyDescent="0.25">
      <c r="B189" s="15"/>
      <c r="C189" s="15" t="s">
        <v>110</v>
      </c>
      <c r="E189" s="4">
        <v>30</v>
      </c>
      <c r="G189" s="6">
        <v>20</v>
      </c>
      <c r="H189" s="26"/>
      <c r="I189" s="26">
        <v>20</v>
      </c>
    </row>
    <row r="190" spans="2:11" hidden="1" outlineLevel="1" x14ac:dyDescent="0.25">
      <c r="B190" s="16" t="s">
        <v>61</v>
      </c>
      <c r="C190" s="15"/>
      <c r="H190" s="26"/>
      <c r="I190" s="26"/>
      <c r="K190" s="3"/>
    </row>
    <row r="191" spans="2:11" hidden="1" outlineLevel="1" x14ac:dyDescent="0.25">
      <c r="B191" s="15"/>
      <c r="C191" s="15" t="s">
        <v>50</v>
      </c>
      <c r="E191" s="4">
        <v>67</v>
      </c>
      <c r="G191" s="6">
        <v>67</v>
      </c>
      <c r="H191" s="26"/>
      <c r="I191" s="26">
        <v>67</v>
      </c>
      <c r="K191" s="3"/>
    </row>
    <row r="192" spans="2:11" hidden="1" outlineLevel="1" x14ac:dyDescent="0.25">
      <c r="B192" s="15"/>
      <c r="C192" s="15" t="s">
        <v>51</v>
      </c>
      <c r="E192" s="4">
        <v>40</v>
      </c>
      <c r="G192" s="6">
        <v>40</v>
      </c>
      <c r="H192" s="26"/>
      <c r="I192" s="26">
        <v>0</v>
      </c>
      <c r="K192" s="3"/>
    </row>
    <row r="193" spans="2:9" hidden="1" outlineLevel="1" x14ac:dyDescent="0.25">
      <c r="B193" s="15"/>
      <c r="C193" s="15" t="s">
        <v>52</v>
      </c>
      <c r="E193" s="4">
        <v>45</v>
      </c>
      <c r="G193" s="6">
        <v>45</v>
      </c>
      <c r="H193" s="26"/>
      <c r="I193" s="26">
        <v>45</v>
      </c>
    </row>
    <row r="194" spans="2:9" hidden="1" outlineLevel="1" x14ac:dyDescent="0.25">
      <c r="B194" s="15"/>
      <c r="C194" s="15" t="s">
        <v>53</v>
      </c>
      <c r="D194" s="39" t="s">
        <v>227</v>
      </c>
      <c r="E194" s="4">
        <v>165</v>
      </c>
      <c r="F194" s="48" t="s">
        <v>226</v>
      </c>
      <c r="G194" s="6">
        <v>110</v>
      </c>
      <c r="H194" s="26" t="s">
        <v>226</v>
      </c>
      <c r="I194" s="26">
        <v>110</v>
      </c>
    </row>
    <row r="195" spans="2:9" hidden="1" outlineLevel="1" x14ac:dyDescent="0.25">
      <c r="B195" s="15"/>
      <c r="C195" s="15" t="s">
        <v>54</v>
      </c>
      <c r="E195" s="4">
        <v>85</v>
      </c>
      <c r="G195" s="6">
        <v>85</v>
      </c>
      <c r="H195" s="26"/>
      <c r="I195" s="26">
        <v>85</v>
      </c>
    </row>
    <row r="196" spans="2:9" hidden="1" outlineLevel="1" x14ac:dyDescent="0.25">
      <c r="B196" s="15"/>
      <c r="C196" s="15" t="s">
        <v>55</v>
      </c>
      <c r="E196" s="4">
        <v>30</v>
      </c>
      <c r="G196" s="6">
        <v>60</v>
      </c>
      <c r="H196" s="26"/>
      <c r="I196" s="26">
        <v>0</v>
      </c>
    </row>
    <row r="197" spans="2:9" hidden="1" outlineLevel="1" x14ac:dyDescent="0.25">
      <c r="B197" s="15"/>
      <c r="C197" s="15" t="s">
        <v>56</v>
      </c>
      <c r="D197" s="39" t="s">
        <v>228</v>
      </c>
      <c r="E197" s="4">
        <v>0</v>
      </c>
      <c r="F197" s="48" t="s">
        <v>225</v>
      </c>
      <c r="G197" s="6">
        <v>120</v>
      </c>
      <c r="H197" s="26" t="s">
        <v>225</v>
      </c>
      <c r="I197" s="26">
        <v>120</v>
      </c>
    </row>
    <row r="198" spans="2:9" hidden="1" outlineLevel="1" x14ac:dyDescent="0.25">
      <c r="B198" s="15"/>
      <c r="C198" s="15" t="s">
        <v>229</v>
      </c>
      <c r="E198" s="4">
        <v>40</v>
      </c>
      <c r="G198" s="6">
        <v>40</v>
      </c>
      <c r="H198" s="26"/>
      <c r="I198" s="26">
        <v>0</v>
      </c>
    </row>
    <row r="199" spans="2:9" hidden="1" outlineLevel="1" x14ac:dyDescent="0.25">
      <c r="B199" s="16" t="s">
        <v>133</v>
      </c>
      <c r="C199" s="15"/>
      <c r="H199" s="26"/>
      <c r="I199" s="26"/>
    </row>
    <row r="200" spans="2:9" hidden="1" outlineLevel="1" x14ac:dyDescent="0.25">
      <c r="B200" s="15"/>
      <c r="C200" s="15" t="s">
        <v>96</v>
      </c>
      <c r="E200" s="4">
        <v>100</v>
      </c>
      <c r="G200" s="6">
        <v>50</v>
      </c>
      <c r="H200" s="26"/>
      <c r="I200" s="26">
        <v>50</v>
      </c>
    </row>
    <row r="201" spans="2:9" hidden="1" outlineLevel="1" x14ac:dyDescent="0.25">
      <c r="B201" s="15"/>
      <c r="C201" s="15" t="s">
        <v>132</v>
      </c>
      <c r="E201" s="4">
        <v>30</v>
      </c>
      <c r="G201" s="6">
        <v>20</v>
      </c>
      <c r="H201" s="26"/>
      <c r="I201" s="26">
        <v>20</v>
      </c>
    </row>
    <row r="202" spans="2:9" hidden="1" outlineLevel="1" x14ac:dyDescent="0.25">
      <c r="B202" s="15"/>
      <c r="C202" s="15" t="s">
        <v>142</v>
      </c>
      <c r="E202" s="4">
        <v>20</v>
      </c>
      <c r="G202" s="6">
        <v>15</v>
      </c>
      <c r="H202" s="26"/>
      <c r="I202" s="26">
        <v>15</v>
      </c>
    </row>
    <row r="203" spans="2:9" hidden="1" outlineLevel="1" x14ac:dyDescent="0.25">
      <c r="B203" s="15"/>
      <c r="C203" s="15" t="s">
        <v>135</v>
      </c>
      <c r="E203" s="4">
        <v>40</v>
      </c>
      <c r="G203" s="6">
        <v>25</v>
      </c>
      <c r="H203" s="26"/>
      <c r="I203" s="26">
        <v>25</v>
      </c>
    </row>
    <row r="204" spans="2:9" hidden="1" outlineLevel="1" x14ac:dyDescent="0.25">
      <c r="B204" s="15"/>
      <c r="C204" s="15" t="s">
        <v>134</v>
      </c>
      <c r="E204" s="4">
        <v>50</v>
      </c>
      <c r="G204" s="6">
        <v>30</v>
      </c>
      <c r="H204" s="26"/>
      <c r="I204" s="26">
        <v>30</v>
      </c>
    </row>
    <row r="205" spans="2:9" hidden="1" outlineLevel="1" x14ac:dyDescent="0.25">
      <c r="B205" s="15"/>
      <c r="C205" s="15" t="s">
        <v>136</v>
      </c>
      <c r="E205" s="4">
        <v>30</v>
      </c>
      <c r="G205" s="6">
        <v>20</v>
      </c>
      <c r="H205" s="26"/>
      <c r="I205" s="26">
        <v>20</v>
      </c>
    </row>
    <row r="206" spans="2:9" hidden="1" outlineLevel="1" x14ac:dyDescent="0.25">
      <c r="B206" s="15"/>
      <c r="C206" s="15" t="s">
        <v>137</v>
      </c>
      <c r="E206" s="4">
        <v>30</v>
      </c>
      <c r="G206" s="6">
        <v>20</v>
      </c>
      <c r="H206" s="26"/>
      <c r="I206" s="26">
        <v>20</v>
      </c>
    </row>
    <row r="207" spans="2:9" hidden="1" outlineLevel="1" x14ac:dyDescent="0.25">
      <c r="B207" s="15"/>
      <c r="C207" s="15" t="s">
        <v>138</v>
      </c>
      <c r="E207" s="4">
        <v>20</v>
      </c>
      <c r="G207" s="6">
        <v>10</v>
      </c>
      <c r="H207" s="26"/>
      <c r="I207" s="26">
        <v>10</v>
      </c>
    </row>
    <row r="208" spans="2:9" hidden="1" outlineLevel="1" x14ac:dyDescent="0.25">
      <c r="B208" s="15"/>
      <c r="C208" s="15" t="s">
        <v>139</v>
      </c>
      <c r="E208" s="4">
        <v>30</v>
      </c>
      <c r="G208" s="6">
        <v>20</v>
      </c>
      <c r="H208" s="26"/>
      <c r="I208" s="26">
        <v>20</v>
      </c>
    </row>
    <row r="209" spans="2:9" hidden="1" outlineLevel="1" x14ac:dyDescent="0.25">
      <c r="B209" s="16" t="s">
        <v>108</v>
      </c>
      <c r="C209" s="15"/>
      <c r="H209" s="26"/>
      <c r="I209" s="26"/>
    </row>
    <row r="210" spans="2:9" hidden="1" outlineLevel="1" x14ac:dyDescent="0.25">
      <c r="B210" s="15"/>
      <c r="C210" s="15" t="s">
        <v>47</v>
      </c>
      <c r="E210" s="4">
        <v>50</v>
      </c>
      <c r="G210" s="6">
        <v>40</v>
      </c>
      <c r="H210" s="26"/>
      <c r="I210" s="26">
        <v>0</v>
      </c>
    </row>
    <row r="211" spans="2:9" hidden="1" outlineLevel="1" x14ac:dyDescent="0.25">
      <c r="B211" s="15"/>
      <c r="C211" s="15" t="s">
        <v>49</v>
      </c>
      <c r="E211" s="4">
        <v>125</v>
      </c>
      <c r="G211" s="6">
        <v>50</v>
      </c>
      <c r="H211" s="26"/>
      <c r="I211" s="26">
        <v>50</v>
      </c>
    </row>
    <row r="212" spans="2:9" hidden="1" outlineLevel="1" x14ac:dyDescent="0.25">
      <c r="B212" s="15"/>
      <c r="C212" s="15" t="s">
        <v>100</v>
      </c>
      <c r="E212" s="4">
        <v>50</v>
      </c>
      <c r="G212" s="6">
        <v>30</v>
      </c>
      <c r="H212" s="26"/>
      <c r="I212" s="26">
        <v>30</v>
      </c>
    </row>
    <row r="213" spans="2:9" hidden="1" outlineLevel="1" x14ac:dyDescent="0.25">
      <c r="B213" s="15"/>
      <c r="C213" s="15" t="s">
        <v>196</v>
      </c>
      <c r="E213" s="4">
        <v>50</v>
      </c>
      <c r="G213" s="6">
        <v>30</v>
      </c>
      <c r="H213" s="26"/>
      <c r="I213" s="26">
        <v>30</v>
      </c>
    </row>
    <row r="214" spans="2:9" collapsed="1" x14ac:dyDescent="0.25">
      <c r="B214" s="30"/>
      <c r="C214" s="30"/>
      <c r="D214" s="41" t="s">
        <v>234</v>
      </c>
      <c r="E214" s="31">
        <f>(1+$D$448+$D$449)*SUM(E177:E213)</f>
        <v>2588.5200000000004</v>
      </c>
      <c r="F214" s="50" t="s">
        <v>224</v>
      </c>
      <c r="G214" s="32">
        <f>(1+$D$448+$D$449)*SUM(G177:G213)</f>
        <v>1850.3700000000001</v>
      </c>
      <c r="H214" s="53"/>
      <c r="I214" s="33">
        <f>(1+$D$448+$D$449)*SUM(I177:I213)</f>
        <v>1428.5700000000002</v>
      </c>
    </row>
    <row r="215" spans="2:9" x14ac:dyDescent="0.25">
      <c r="D215" s="38"/>
      <c r="E215"/>
      <c r="F215" s="38"/>
      <c r="G215"/>
      <c r="H215" s="38"/>
      <c r="I215"/>
    </row>
    <row r="216" spans="2:9" x14ac:dyDescent="0.25">
      <c r="B216" s="16" t="s">
        <v>106</v>
      </c>
      <c r="C216" s="15"/>
      <c r="H216" s="26"/>
      <c r="I216" s="26"/>
    </row>
    <row r="217" spans="2:9" hidden="1" outlineLevel="1" x14ac:dyDescent="0.25">
      <c r="B217" s="15"/>
      <c r="C217" s="15" t="s">
        <v>150</v>
      </c>
      <c r="E217" s="4">
        <v>80</v>
      </c>
      <c r="G217" s="6">
        <v>60</v>
      </c>
      <c r="H217" s="26"/>
      <c r="I217" s="26">
        <v>60</v>
      </c>
    </row>
    <row r="218" spans="2:9" hidden="1" outlineLevel="1" x14ac:dyDescent="0.25">
      <c r="B218" s="15"/>
      <c r="C218" s="15" t="s">
        <v>151</v>
      </c>
      <c r="E218" s="4">
        <v>200</v>
      </c>
      <c r="G218" s="6">
        <v>100</v>
      </c>
      <c r="H218" s="26"/>
      <c r="I218" s="26">
        <v>100</v>
      </c>
    </row>
    <row r="219" spans="2:9" hidden="1" outlineLevel="1" x14ac:dyDescent="0.25">
      <c r="B219" s="15"/>
      <c r="C219" s="15" t="s">
        <v>154</v>
      </c>
      <c r="E219" s="4">
        <v>25</v>
      </c>
      <c r="G219" s="6">
        <v>25</v>
      </c>
      <c r="H219" s="26"/>
      <c r="I219" s="26">
        <v>25</v>
      </c>
    </row>
    <row r="220" spans="2:9" hidden="1" outlineLevel="1" x14ac:dyDescent="0.25">
      <c r="B220" s="15"/>
      <c r="C220" s="15" t="s">
        <v>111</v>
      </c>
      <c r="E220" s="4">
        <v>50</v>
      </c>
      <c r="G220" s="6">
        <v>30</v>
      </c>
      <c r="H220" s="26"/>
      <c r="I220" s="26">
        <v>30</v>
      </c>
    </row>
    <row r="221" spans="2:9" hidden="1" outlineLevel="1" x14ac:dyDescent="0.25">
      <c r="B221" s="15"/>
      <c r="C221" s="15" t="s">
        <v>156</v>
      </c>
      <c r="E221" s="4">
        <v>10</v>
      </c>
      <c r="G221" s="6">
        <v>10</v>
      </c>
      <c r="H221" s="26"/>
      <c r="I221" s="26">
        <v>10</v>
      </c>
    </row>
    <row r="222" spans="2:9" hidden="1" outlineLevel="1" x14ac:dyDescent="0.25">
      <c r="B222" s="15"/>
      <c r="C222" s="15" t="s">
        <v>155</v>
      </c>
      <c r="E222" s="4">
        <v>30</v>
      </c>
      <c r="G222" s="6">
        <v>20</v>
      </c>
      <c r="H222" s="26"/>
      <c r="I222" s="26">
        <v>20</v>
      </c>
    </row>
    <row r="223" spans="2:9" hidden="1" outlineLevel="1" x14ac:dyDescent="0.25">
      <c r="B223" s="15"/>
      <c r="C223" s="15" t="s">
        <v>153</v>
      </c>
      <c r="E223" s="4">
        <v>80</v>
      </c>
      <c r="G223" s="6">
        <v>50</v>
      </c>
      <c r="H223" s="26"/>
      <c r="I223" s="26">
        <v>50</v>
      </c>
    </row>
    <row r="224" spans="2:9" hidden="1" outlineLevel="1" x14ac:dyDescent="0.25">
      <c r="B224" s="15"/>
      <c r="C224" s="15" t="s">
        <v>157</v>
      </c>
      <c r="E224" s="4">
        <v>50</v>
      </c>
      <c r="G224" s="6">
        <v>25</v>
      </c>
      <c r="H224" s="26"/>
      <c r="I224" s="26">
        <v>25</v>
      </c>
    </row>
    <row r="225" spans="2:9" hidden="1" outlineLevel="1" x14ac:dyDescent="0.25">
      <c r="B225" s="15"/>
      <c r="C225" s="15" t="s">
        <v>158</v>
      </c>
      <c r="E225" s="4">
        <v>40</v>
      </c>
      <c r="G225" s="6">
        <v>30</v>
      </c>
      <c r="H225" s="26"/>
      <c r="I225" s="26">
        <v>30</v>
      </c>
    </row>
    <row r="226" spans="2:9" hidden="1" outlineLevel="1" x14ac:dyDescent="0.25">
      <c r="B226" s="15"/>
      <c r="C226" s="15" t="s">
        <v>113</v>
      </c>
      <c r="E226" s="4">
        <v>120</v>
      </c>
      <c r="G226" s="6">
        <v>30</v>
      </c>
      <c r="H226" s="26"/>
      <c r="I226" s="26">
        <v>30</v>
      </c>
    </row>
    <row r="227" spans="2:9" hidden="1" outlineLevel="1" x14ac:dyDescent="0.25">
      <c r="B227" s="15"/>
      <c r="C227" s="15" t="s">
        <v>152</v>
      </c>
      <c r="E227" s="4">
        <v>20</v>
      </c>
      <c r="G227" s="6">
        <v>20</v>
      </c>
      <c r="H227" s="26"/>
      <c r="I227" s="26">
        <v>20</v>
      </c>
    </row>
    <row r="228" spans="2:9" hidden="1" outlineLevel="1" x14ac:dyDescent="0.25">
      <c r="B228" s="15"/>
      <c r="C228" s="15" t="s">
        <v>126</v>
      </c>
      <c r="E228" s="4">
        <v>15</v>
      </c>
      <c r="G228" s="6">
        <v>15</v>
      </c>
      <c r="H228" s="26"/>
      <c r="I228" s="26">
        <v>15</v>
      </c>
    </row>
    <row r="229" spans="2:9" hidden="1" outlineLevel="1" x14ac:dyDescent="0.25">
      <c r="B229" s="15"/>
      <c r="C229" s="15" t="s">
        <v>159</v>
      </c>
      <c r="E229" s="4">
        <v>40</v>
      </c>
      <c r="G229" s="6">
        <v>30</v>
      </c>
      <c r="H229" s="26"/>
      <c r="I229" s="26">
        <v>30</v>
      </c>
    </row>
    <row r="230" spans="2:9" hidden="1" outlineLevel="1" x14ac:dyDescent="0.25">
      <c r="B230" s="15"/>
      <c r="C230" s="15" t="s">
        <v>115</v>
      </c>
      <c r="E230" s="4">
        <v>20</v>
      </c>
      <c r="G230" s="6">
        <v>20</v>
      </c>
      <c r="H230" s="26"/>
      <c r="I230" s="26">
        <v>20</v>
      </c>
    </row>
    <row r="231" spans="2:9" hidden="1" outlineLevel="1" x14ac:dyDescent="0.25">
      <c r="B231" s="15"/>
      <c r="C231" s="15" t="s">
        <v>116</v>
      </c>
      <c r="E231" s="4">
        <v>50</v>
      </c>
      <c r="G231" s="6">
        <v>40</v>
      </c>
      <c r="H231" s="26"/>
      <c r="I231" s="26">
        <v>40</v>
      </c>
    </row>
    <row r="232" spans="2:9" hidden="1" outlineLevel="1" x14ac:dyDescent="0.25">
      <c r="B232" s="15"/>
      <c r="C232" s="15" t="s">
        <v>92</v>
      </c>
      <c r="E232" s="4">
        <v>20</v>
      </c>
      <c r="G232" s="6">
        <v>10</v>
      </c>
      <c r="H232" s="26"/>
      <c r="I232" s="26">
        <v>10</v>
      </c>
    </row>
    <row r="233" spans="2:9" hidden="1" outlineLevel="1" x14ac:dyDescent="0.25">
      <c r="B233" s="15"/>
      <c r="C233" s="15" t="s">
        <v>119</v>
      </c>
      <c r="E233" s="4">
        <v>30</v>
      </c>
      <c r="G233" s="6">
        <v>20</v>
      </c>
      <c r="H233" s="26"/>
      <c r="I233" s="26">
        <v>20</v>
      </c>
    </row>
    <row r="234" spans="2:9" hidden="1" outlineLevel="1" x14ac:dyDescent="0.25">
      <c r="B234" s="15"/>
      <c r="C234" s="15" t="s">
        <v>161</v>
      </c>
      <c r="E234" s="4">
        <v>150</v>
      </c>
      <c r="G234" s="6">
        <v>150</v>
      </c>
      <c r="H234" s="26"/>
      <c r="I234" s="26">
        <v>0</v>
      </c>
    </row>
    <row r="235" spans="2:9" hidden="1" outlineLevel="1" x14ac:dyDescent="0.25">
      <c r="B235" s="15"/>
      <c r="C235" s="15" t="s">
        <v>162</v>
      </c>
      <c r="E235" s="4">
        <v>100</v>
      </c>
      <c r="G235" s="6">
        <v>50</v>
      </c>
      <c r="H235" s="26"/>
      <c r="I235" s="26">
        <v>50</v>
      </c>
    </row>
    <row r="236" spans="2:9" hidden="1" outlineLevel="1" x14ac:dyDescent="0.25">
      <c r="B236" s="15"/>
      <c r="C236" s="15" t="s">
        <v>120</v>
      </c>
      <c r="E236" s="4">
        <v>140</v>
      </c>
      <c r="G236" s="6">
        <v>65</v>
      </c>
      <c r="H236" s="26"/>
      <c r="I236" s="26">
        <v>65</v>
      </c>
    </row>
    <row r="237" spans="2:9" hidden="1" outlineLevel="1" x14ac:dyDescent="0.25">
      <c r="B237" s="15"/>
      <c r="C237" s="15" t="s">
        <v>85</v>
      </c>
      <c r="E237" s="4">
        <v>100</v>
      </c>
      <c r="G237" s="6">
        <v>90</v>
      </c>
      <c r="H237" s="26"/>
      <c r="I237" s="26">
        <v>90</v>
      </c>
    </row>
    <row r="238" spans="2:9" hidden="1" outlineLevel="1" x14ac:dyDescent="0.25">
      <c r="B238" s="15"/>
      <c r="C238" s="15" t="s">
        <v>107</v>
      </c>
      <c r="E238" s="4">
        <v>20</v>
      </c>
      <c r="G238" s="6">
        <v>15</v>
      </c>
      <c r="H238" s="26"/>
      <c r="I238" s="26">
        <v>15</v>
      </c>
    </row>
    <row r="239" spans="2:9" hidden="1" outlineLevel="1" x14ac:dyDescent="0.25">
      <c r="B239" s="15"/>
      <c r="C239" s="15" t="s">
        <v>89</v>
      </c>
      <c r="E239" s="4">
        <v>100</v>
      </c>
      <c r="G239" s="6">
        <v>80</v>
      </c>
      <c r="H239" s="26"/>
      <c r="I239" s="26">
        <v>80</v>
      </c>
    </row>
    <row r="240" spans="2:9" hidden="1" outlineLevel="1" x14ac:dyDescent="0.25">
      <c r="B240" s="15"/>
      <c r="C240" s="15" t="s">
        <v>82</v>
      </c>
      <c r="E240" s="4">
        <v>50</v>
      </c>
      <c r="G240" s="6">
        <v>30</v>
      </c>
      <c r="H240" s="26"/>
      <c r="I240" s="26">
        <v>30</v>
      </c>
    </row>
    <row r="241" spans="2:9" hidden="1" outlineLevel="1" x14ac:dyDescent="0.25">
      <c r="B241" s="15"/>
      <c r="C241" s="15" t="s">
        <v>97</v>
      </c>
      <c r="E241" s="4">
        <v>35</v>
      </c>
      <c r="G241" s="6">
        <v>15</v>
      </c>
      <c r="H241" s="26"/>
      <c r="I241" s="26">
        <v>15</v>
      </c>
    </row>
    <row r="242" spans="2:9" hidden="1" outlineLevel="1" x14ac:dyDescent="0.25">
      <c r="B242" s="15"/>
      <c r="C242" s="15" t="s">
        <v>127</v>
      </c>
      <c r="E242" s="4">
        <v>40</v>
      </c>
      <c r="G242" s="6">
        <v>40</v>
      </c>
      <c r="H242" s="26"/>
      <c r="I242" s="26">
        <v>0</v>
      </c>
    </row>
    <row r="243" spans="2:9" hidden="1" outlineLevel="1" x14ac:dyDescent="0.25">
      <c r="B243" s="15"/>
      <c r="C243" s="15" t="s">
        <v>143</v>
      </c>
      <c r="E243" s="4">
        <v>11</v>
      </c>
      <c r="G243" s="6">
        <v>11</v>
      </c>
      <c r="H243" s="26"/>
      <c r="I243" s="26">
        <v>11</v>
      </c>
    </row>
    <row r="244" spans="2:9" hidden="1" outlineLevel="1" x14ac:dyDescent="0.25">
      <c r="B244" s="15"/>
      <c r="C244" s="15" t="s">
        <v>144</v>
      </c>
      <c r="E244" s="4">
        <v>15</v>
      </c>
      <c r="G244" s="6">
        <v>15</v>
      </c>
      <c r="H244" s="26"/>
      <c r="I244" s="26">
        <v>15</v>
      </c>
    </row>
    <row r="245" spans="2:9" hidden="1" outlineLevel="1" x14ac:dyDescent="0.25">
      <c r="B245" s="15"/>
      <c r="C245" s="15" t="s">
        <v>109</v>
      </c>
      <c r="E245" s="4">
        <v>20</v>
      </c>
      <c r="G245" s="6">
        <v>10</v>
      </c>
      <c r="H245" s="26"/>
      <c r="I245" s="26">
        <v>10</v>
      </c>
    </row>
    <row r="246" spans="2:9" hidden="1" outlineLevel="1" x14ac:dyDescent="0.25">
      <c r="B246" s="15"/>
      <c r="C246" s="15" t="s">
        <v>167</v>
      </c>
      <c r="E246" s="4">
        <v>10</v>
      </c>
      <c r="G246" s="6">
        <v>10</v>
      </c>
      <c r="H246" s="26"/>
      <c r="I246" s="26">
        <v>10</v>
      </c>
    </row>
    <row r="247" spans="2:9" hidden="1" outlineLevel="1" x14ac:dyDescent="0.25">
      <c r="B247" s="15"/>
      <c r="C247" s="15" t="s">
        <v>185</v>
      </c>
      <c r="E247" s="4">
        <v>30</v>
      </c>
      <c r="G247" s="6">
        <v>20</v>
      </c>
      <c r="H247" s="26"/>
      <c r="I247" s="26">
        <v>20</v>
      </c>
    </row>
    <row r="248" spans="2:9" hidden="1" outlineLevel="1" x14ac:dyDescent="0.25">
      <c r="B248" s="15"/>
      <c r="C248" s="15" t="s">
        <v>201</v>
      </c>
      <c r="E248" s="4">
        <v>30</v>
      </c>
      <c r="G248" s="6">
        <v>20</v>
      </c>
      <c r="H248" s="26"/>
      <c r="I248" s="26">
        <v>20</v>
      </c>
    </row>
    <row r="249" spans="2:9" hidden="1" outlineLevel="1" x14ac:dyDescent="0.25">
      <c r="B249" s="15"/>
      <c r="C249" s="15" t="s">
        <v>121</v>
      </c>
      <c r="E249" s="4">
        <v>200</v>
      </c>
      <c r="G249" s="6">
        <v>30</v>
      </c>
      <c r="H249" s="26"/>
      <c r="I249" s="26">
        <v>30</v>
      </c>
    </row>
    <row r="250" spans="2:9" hidden="1" outlineLevel="1" x14ac:dyDescent="0.25">
      <c r="B250" s="16" t="s">
        <v>195</v>
      </c>
      <c r="C250" s="15"/>
      <c r="H250" s="26"/>
      <c r="I250" s="26"/>
    </row>
    <row r="251" spans="2:9" hidden="1" outlineLevel="1" x14ac:dyDescent="0.25">
      <c r="B251" s="15"/>
      <c r="C251" s="15" t="s">
        <v>41</v>
      </c>
      <c r="E251" s="4">
        <v>70</v>
      </c>
      <c r="G251" s="6">
        <v>30</v>
      </c>
      <c r="H251" s="26"/>
      <c r="I251" s="26">
        <v>30</v>
      </c>
    </row>
    <row r="252" spans="2:9" hidden="1" outlineLevel="1" x14ac:dyDescent="0.25">
      <c r="B252" s="15"/>
      <c r="C252" s="15" t="s">
        <v>40</v>
      </c>
      <c r="E252" s="4">
        <v>50</v>
      </c>
      <c r="G252" s="6">
        <v>30</v>
      </c>
      <c r="H252" s="26"/>
      <c r="I252" s="26">
        <v>30</v>
      </c>
    </row>
    <row r="253" spans="2:9" hidden="1" outlineLevel="1" x14ac:dyDescent="0.25">
      <c r="B253" s="15"/>
      <c r="C253" s="15" t="s">
        <v>42</v>
      </c>
      <c r="E253" s="4">
        <v>30</v>
      </c>
      <c r="G253" s="6">
        <v>20</v>
      </c>
      <c r="H253" s="26"/>
      <c r="I253" s="26">
        <v>20</v>
      </c>
    </row>
    <row r="254" spans="2:9" hidden="1" outlineLevel="1" x14ac:dyDescent="0.25">
      <c r="B254" s="15"/>
      <c r="C254" s="15" t="s">
        <v>131</v>
      </c>
      <c r="E254" s="4">
        <v>50</v>
      </c>
      <c r="G254" s="6">
        <v>30</v>
      </c>
      <c r="H254" s="26"/>
      <c r="I254" s="26">
        <v>30</v>
      </c>
    </row>
    <row r="255" spans="2:9" hidden="1" outlineLevel="1" x14ac:dyDescent="0.25">
      <c r="B255" s="15"/>
      <c r="C255" s="15" t="s">
        <v>114</v>
      </c>
      <c r="E255" s="4">
        <v>20</v>
      </c>
      <c r="G255" s="6">
        <v>15</v>
      </c>
      <c r="H255" s="26"/>
      <c r="I255" s="26">
        <v>15</v>
      </c>
    </row>
    <row r="256" spans="2:9" hidden="1" outlineLevel="1" x14ac:dyDescent="0.25">
      <c r="B256" s="15"/>
      <c r="C256" s="15" t="s">
        <v>83</v>
      </c>
      <c r="E256" s="4">
        <v>60</v>
      </c>
      <c r="G256" s="6">
        <v>40</v>
      </c>
      <c r="H256" s="26"/>
      <c r="I256" s="26">
        <v>40</v>
      </c>
    </row>
    <row r="257" spans="2:9" hidden="1" outlineLevel="1" x14ac:dyDescent="0.25">
      <c r="B257" s="15"/>
      <c r="C257" s="15" t="s">
        <v>141</v>
      </c>
      <c r="E257" s="4">
        <v>70</v>
      </c>
      <c r="G257" s="6">
        <v>40</v>
      </c>
      <c r="H257" s="26"/>
      <c r="I257" s="26">
        <v>40</v>
      </c>
    </row>
    <row r="258" spans="2:9" hidden="1" outlineLevel="1" x14ac:dyDescent="0.25">
      <c r="B258" s="16" t="s">
        <v>122</v>
      </c>
      <c r="C258" s="15"/>
      <c r="H258" s="26"/>
      <c r="I258" s="26"/>
    </row>
    <row r="259" spans="2:9" hidden="1" outlineLevel="1" x14ac:dyDescent="0.25">
      <c r="B259" s="15"/>
      <c r="C259" s="15" t="s">
        <v>123</v>
      </c>
      <c r="E259" s="4">
        <v>20</v>
      </c>
      <c r="G259" s="6">
        <v>15</v>
      </c>
      <c r="H259" s="26"/>
      <c r="I259" s="26">
        <v>15</v>
      </c>
    </row>
    <row r="260" spans="2:9" hidden="1" outlineLevel="1" x14ac:dyDescent="0.25">
      <c r="B260" s="15"/>
      <c r="C260" s="15" t="s">
        <v>124</v>
      </c>
      <c r="E260" s="4">
        <v>30</v>
      </c>
      <c r="G260" s="6">
        <v>20</v>
      </c>
      <c r="H260" s="26"/>
      <c r="I260" s="26">
        <v>20</v>
      </c>
    </row>
    <row r="261" spans="2:9" hidden="1" outlineLevel="1" x14ac:dyDescent="0.25">
      <c r="B261" s="15"/>
      <c r="C261" s="15" t="s">
        <v>125</v>
      </c>
      <c r="E261" s="4">
        <v>20</v>
      </c>
      <c r="G261" s="6">
        <v>15</v>
      </c>
      <c r="H261" s="26"/>
      <c r="I261" s="26">
        <v>15</v>
      </c>
    </row>
    <row r="262" spans="2:9" hidden="1" outlineLevel="1" x14ac:dyDescent="0.25">
      <c r="B262" s="15"/>
      <c r="C262" s="15" t="s">
        <v>118</v>
      </c>
      <c r="E262" s="4">
        <v>20</v>
      </c>
      <c r="G262" s="6">
        <v>12</v>
      </c>
      <c r="H262" s="26"/>
      <c r="I262" s="26">
        <v>12</v>
      </c>
    </row>
    <row r="263" spans="2:9" hidden="1" outlineLevel="1" x14ac:dyDescent="0.25">
      <c r="B263" s="15"/>
      <c r="C263" s="15" t="s">
        <v>129</v>
      </c>
      <c r="E263" s="4">
        <v>20</v>
      </c>
      <c r="G263" s="6">
        <v>10</v>
      </c>
      <c r="H263" s="26"/>
      <c r="I263" s="26">
        <v>10</v>
      </c>
    </row>
    <row r="264" spans="2:9" hidden="1" outlineLevel="1" x14ac:dyDescent="0.25">
      <c r="B264" s="15"/>
      <c r="C264" s="15" t="s">
        <v>145</v>
      </c>
      <c r="E264" s="4">
        <v>15</v>
      </c>
      <c r="G264" s="6">
        <v>15</v>
      </c>
      <c r="H264" s="26"/>
      <c r="I264" s="26">
        <v>15</v>
      </c>
    </row>
    <row r="265" spans="2:9" hidden="1" outlineLevel="1" x14ac:dyDescent="0.25">
      <c r="B265" s="15"/>
      <c r="C265" s="15" t="s">
        <v>130</v>
      </c>
      <c r="E265" s="4">
        <v>30</v>
      </c>
      <c r="G265" s="6">
        <v>20</v>
      </c>
      <c r="H265" s="26"/>
      <c r="I265" s="26">
        <v>20</v>
      </c>
    </row>
    <row r="266" spans="2:9" hidden="1" outlineLevel="1" x14ac:dyDescent="0.25">
      <c r="B266" s="15"/>
      <c r="C266" s="15" t="s">
        <v>128</v>
      </c>
      <c r="E266" s="4">
        <v>30</v>
      </c>
      <c r="G266" s="6">
        <v>10</v>
      </c>
      <c r="H266" s="26"/>
      <c r="I266" s="26">
        <v>10</v>
      </c>
    </row>
    <row r="267" spans="2:9" hidden="1" outlineLevel="1" x14ac:dyDescent="0.25">
      <c r="B267" s="15"/>
      <c r="C267" s="15" t="s">
        <v>140</v>
      </c>
      <c r="E267" s="4">
        <v>45</v>
      </c>
      <c r="G267" s="6">
        <v>20</v>
      </c>
      <c r="H267" s="26"/>
      <c r="I267" s="26">
        <v>20</v>
      </c>
    </row>
    <row r="268" spans="2:9" hidden="1" outlineLevel="1" x14ac:dyDescent="0.25">
      <c r="B268" s="15"/>
      <c r="C268" s="15" t="s">
        <v>146</v>
      </c>
      <c r="E268" s="4">
        <v>50</v>
      </c>
      <c r="G268" s="6">
        <v>30</v>
      </c>
      <c r="H268" s="26"/>
      <c r="I268" s="26">
        <v>0</v>
      </c>
    </row>
    <row r="269" spans="2:9" hidden="1" outlineLevel="1" x14ac:dyDescent="0.25">
      <c r="B269" s="16" t="s">
        <v>112</v>
      </c>
      <c r="C269" s="15"/>
      <c r="H269" s="26"/>
      <c r="I269" s="26"/>
    </row>
    <row r="270" spans="2:9" hidden="1" outlineLevel="1" x14ac:dyDescent="0.25">
      <c r="B270" s="15"/>
      <c r="C270" s="15" t="s">
        <v>147</v>
      </c>
      <c r="E270" s="4">
        <v>70</v>
      </c>
      <c r="G270" s="6">
        <v>40</v>
      </c>
      <c r="H270" s="26"/>
      <c r="I270" s="26">
        <v>40</v>
      </c>
    </row>
    <row r="271" spans="2:9" hidden="1" outlineLevel="1" x14ac:dyDescent="0.25">
      <c r="B271" s="15"/>
      <c r="C271" s="15" t="s">
        <v>117</v>
      </c>
      <c r="E271" s="4">
        <v>50</v>
      </c>
      <c r="G271" s="6">
        <v>30</v>
      </c>
      <c r="H271" s="26"/>
      <c r="I271" s="26">
        <v>30</v>
      </c>
    </row>
    <row r="272" spans="2:9" hidden="1" outlineLevel="1" x14ac:dyDescent="0.25">
      <c r="B272" s="15"/>
      <c r="C272" s="15" t="s">
        <v>98</v>
      </c>
      <c r="E272" s="4">
        <v>30</v>
      </c>
      <c r="G272" s="6">
        <v>20</v>
      </c>
      <c r="H272" s="26"/>
      <c r="I272" s="26">
        <v>20</v>
      </c>
    </row>
    <row r="273" spans="2:9" hidden="1" outlineLevel="1" x14ac:dyDescent="0.25">
      <c r="B273" s="15"/>
      <c r="C273" s="15" t="s">
        <v>148</v>
      </c>
      <c r="E273" s="4">
        <v>50</v>
      </c>
      <c r="G273" s="6">
        <v>30</v>
      </c>
      <c r="H273" s="26"/>
      <c r="I273" s="26">
        <v>30</v>
      </c>
    </row>
    <row r="274" spans="2:9" hidden="1" outlineLevel="1" x14ac:dyDescent="0.25">
      <c r="B274" s="15"/>
      <c r="C274" s="15" t="s">
        <v>160</v>
      </c>
      <c r="E274" s="4">
        <v>40</v>
      </c>
      <c r="G274" s="6">
        <v>20</v>
      </c>
      <c r="H274" s="26"/>
      <c r="I274" s="26">
        <v>20</v>
      </c>
    </row>
    <row r="275" spans="2:9" hidden="1" outlineLevel="1" x14ac:dyDescent="0.25">
      <c r="B275" s="16" t="s">
        <v>163</v>
      </c>
      <c r="C275" s="15"/>
      <c r="H275" s="26"/>
      <c r="I275" s="26"/>
    </row>
    <row r="276" spans="2:9" hidden="1" outlineLevel="1" x14ac:dyDescent="0.25">
      <c r="B276" s="15"/>
      <c r="C276" s="15" t="s">
        <v>164</v>
      </c>
      <c r="E276" s="4">
        <v>20</v>
      </c>
      <c r="G276" s="6">
        <v>20</v>
      </c>
      <c r="H276" s="26"/>
      <c r="I276" s="26">
        <v>20</v>
      </c>
    </row>
    <row r="277" spans="2:9" hidden="1" outlineLevel="1" x14ac:dyDescent="0.25">
      <c r="B277" s="15"/>
      <c r="C277" s="15" t="s">
        <v>165</v>
      </c>
      <c r="E277" s="4">
        <v>25</v>
      </c>
      <c r="G277" s="6">
        <v>25</v>
      </c>
      <c r="H277" s="26"/>
      <c r="I277" s="26">
        <v>25</v>
      </c>
    </row>
    <row r="278" spans="2:9" hidden="1" outlineLevel="1" x14ac:dyDescent="0.25">
      <c r="B278" s="15"/>
      <c r="C278" s="15" t="s">
        <v>95</v>
      </c>
      <c r="E278" s="4">
        <v>30</v>
      </c>
      <c r="G278" s="6">
        <v>20</v>
      </c>
      <c r="H278" s="26"/>
      <c r="I278" s="26">
        <v>20</v>
      </c>
    </row>
    <row r="279" spans="2:9" hidden="1" outlineLevel="1" x14ac:dyDescent="0.25">
      <c r="B279" s="15"/>
      <c r="C279" s="15" t="s">
        <v>166</v>
      </c>
      <c r="E279" s="4">
        <v>30</v>
      </c>
      <c r="G279" s="6">
        <v>20</v>
      </c>
      <c r="H279" s="26"/>
      <c r="I279" s="26">
        <v>20</v>
      </c>
    </row>
    <row r="280" spans="2:9" collapsed="1" x14ac:dyDescent="0.25">
      <c r="B280" s="30"/>
      <c r="C280" s="30"/>
      <c r="D280" s="41"/>
      <c r="E280" s="31">
        <f>(1+$D$448+$D$449)*SUM(E217:E279)</f>
        <v>3225.6600000000003</v>
      </c>
      <c r="F280" s="50"/>
      <c r="G280" s="32">
        <f>(1+$D$448+$D$449)*SUM(G217:G279)</f>
        <v>1979.13</v>
      </c>
      <c r="H280" s="53"/>
      <c r="I280" s="33">
        <f>(1+$D$448+$D$449)*SUM(I217:I279)</f>
        <v>1734.93</v>
      </c>
    </row>
    <row r="281" spans="2:9" x14ac:dyDescent="0.25">
      <c r="D281" s="38"/>
      <c r="E281"/>
      <c r="F281" s="38"/>
      <c r="G281"/>
      <c r="H281" s="38"/>
      <c r="I281"/>
    </row>
    <row r="282" spans="2:9" x14ac:dyDescent="0.25">
      <c r="B282" s="16" t="s">
        <v>237</v>
      </c>
      <c r="C282" s="15"/>
      <c r="H282" s="26"/>
      <c r="I282" s="26"/>
    </row>
    <row r="283" spans="2:9" hidden="1" outlineLevel="1" x14ac:dyDescent="0.25">
      <c r="B283" s="15"/>
      <c r="C283" s="15" t="s">
        <v>57</v>
      </c>
      <c r="E283" s="4">
        <v>580</v>
      </c>
      <c r="G283" s="6">
        <v>580</v>
      </c>
      <c r="H283" s="26"/>
      <c r="I283" s="26">
        <v>0</v>
      </c>
    </row>
    <row r="284" spans="2:9" hidden="1" outlineLevel="1" x14ac:dyDescent="0.25">
      <c r="B284" s="15"/>
      <c r="C284" s="15" t="s">
        <v>105</v>
      </c>
      <c r="E284" s="4">
        <v>300</v>
      </c>
      <c r="G284" s="6">
        <v>200</v>
      </c>
      <c r="H284" s="26"/>
      <c r="I284" s="26">
        <v>200</v>
      </c>
    </row>
    <row r="285" spans="2:9" hidden="1" outlineLevel="1" x14ac:dyDescent="0.25">
      <c r="B285" s="15"/>
      <c r="C285" s="15" t="s">
        <v>58</v>
      </c>
      <c r="E285" s="4">
        <v>200</v>
      </c>
      <c r="G285" s="6">
        <v>100</v>
      </c>
      <c r="H285" s="26"/>
      <c r="I285" s="26">
        <v>100</v>
      </c>
    </row>
    <row r="286" spans="2:9" hidden="1" outlineLevel="1" x14ac:dyDescent="0.25">
      <c r="B286" s="15"/>
      <c r="C286" s="15" t="s">
        <v>88</v>
      </c>
      <c r="E286" s="4">
        <v>50</v>
      </c>
      <c r="G286" s="6">
        <v>50</v>
      </c>
      <c r="H286" s="26"/>
      <c r="I286" s="26">
        <v>100</v>
      </c>
    </row>
    <row r="287" spans="2:9" collapsed="1" x14ac:dyDescent="0.25">
      <c r="B287" s="30"/>
      <c r="C287" s="30"/>
      <c r="D287" s="41"/>
      <c r="E287" s="31">
        <f>(1+$D$448+$D$449)*SUM(E282:E286)</f>
        <v>1254.3000000000002</v>
      </c>
      <c r="F287" s="50"/>
      <c r="G287" s="32">
        <f>(1+$D$448+$D$449)*SUM(G282:G286)</f>
        <v>1032.3000000000002</v>
      </c>
      <c r="H287" s="53"/>
      <c r="I287" s="33">
        <f>(1+$D$448+$D$449)*SUM(I282:I286)</f>
        <v>444.00000000000006</v>
      </c>
    </row>
    <row r="288" spans="2:9" x14ac:dyDescent="0.25">
      <c r="B288"/>
      <c r="D288" s="9"/>
      <c r="E288" s="9"/>
      <c r="F288" s="9"/>
      <c r="G288" s="9"/>
      <c r="H288" s="9"/>
      <c r="I288" s="9"/>
    </row>
    <row r="289" spans="2:9" x14ac:dyDescent="0.25">
      <c r="B289" s="20" t="s">
        <v>280</v>
      </c>
      <c r="C289" s="22"/>
      <c r="D289" s="21"/>
      <c r="E289" s="21"/>
      <c r="F289" s="21"/>
      <c r="G289" s="21"/>
      <c r="H289" s="21"/>
      <c r="I289" s="21"/>
    </row>
    <row r="290" spans="2:9" x14ac:dyDescent="0.25">
      <c r="D290" s="38"/>
      <c r="E290"/>
      <c r="F290" s="38"/>
      <c r="G290"/>
      <c r="H290" s="38"/>
      <c r="I290"/>
    </row>
    <row r="291" spans="2:9" x14ac:dyDescent="0.25">
      <c r="B291" s="16" t="s">
        <v>193</v>
      </c>
      <c r="C291" s="15"/>
      <c r="H291" s="26"/>
      <c r="I291" s="26"/>
    </row>
    <row r="292" spans="2:9" hidden="1" outlineLevel="1" x14ac:dyDescent="0.25">
      <c r="B292" s="15"/>
      <c r="C292" s="15" t="s">
        <v>189</v>
      </c>
      <c r="E292" s="4">
        <v>300</v>
      </c>
      <c r="G292" s="6">
        <v>200</v>
      </c>
      <c r="H292" s="26"/>
      <c r="I292" s="26">
        <v>200</v>
      </c>
    </row>
    <row r="293" spans="2:9" hidden="1" outlineLevel="1" x14ac:dyDescent="0.25">
      <c r="B293" s="15"/>
      <c r="C293" s="15" t="s">
        <v>188</v>
      </c>
      <c r="E293" s="4">
        <v>100</v>
      </c>
      <c r="G293" s="6">
        <v>50</v>
      </c>
      <c r="H293" s="26"/>
      <c r="I293" s="26">
        <v>50</v>
      </c>
    </row>
    <row r="294" spans="2:9" hidden="1" outlineLevel="1" x14ac:dyDescent="0.25">
      <c r="B294" s="15"/>
      <c r="C294" s="15" t="s">
        <v>190</v>
      </c>
      <c r="E294" s="4">
        <v>30</v>
      </c>
      <c r="G294" s="6">
        <v>20</v>
      </c>
      <c r="H294" s="26"/>
      <c r="I294" s="26">
        <v>20</v>
      </c>
    </row>
    <row r="295" spans="2:9" hidden="1" outlineLevel="1" x14ac:dyDescent="0.25">
      <c r="B295" s="15"/>
      <c r="C295" s="15" t="s">
        <v>191</v>
      </c>
      <c r="E295" s="4">
        <v>30</v>
      </c>
      <c r="G295" s="6">
        <v>30</v>
      </c>
      <c r="H295" s="26"/>
      <c r="I295" s="26">
        <v>30</v>
      </c>
    </row>
    <row r="296" spans="2:9" hidden="1" outlineLevel="1" x14ac:dyDescent="0.25">
      <c r="B296" s="15"/>
      <c r="C296" s="15" t="s">
        <v>192</v>
      </c>
      <c r="E296" s="4">
        <v>30</v>
      </c>
      <c r="G296" s="6">
        <v>30</v>
      </c>
      <c r="H296" s="26"/>
      <c r="I296" s="26">
        <v>30</v>
      </c>
    </row>
    <row r="297" spans="2:9" hidden="1" outlineLevel="1" x14ac:dyDescent="0.25">
      <c r="B297" s="15"/>
      <c r="C297" s="15" t="s">
        <v>186</v>
      </c>
      <c r="E297" s="4">
        <v>30</v>
      </c>
      <c r="G297" s="6">
        <v>20</v>
      </c>
      <c r="H297" s="26"/>
      <c r="I297" s="26">
        <v>20</v>
      </c>
    </row>
    <row r="298" spans="2:9" hidden="1" outlineLevel="1" x14ac:dyDescent="0.25">
      <c r="B298" s="15"/>
      <c r="C298" s="15" t="s">
        <v>74</v>
      </c>
      <c r="E298" s="4">
        <v>70</v>
      </c>
      <c r="G298" s="6">
        <v>50</v>
      </c>
      <c r="H298" s="26"/>
      <c r="I298" s="26">
        <v>50</v>
      </c>
    </row>
    <row r="299" spans="2:9" hidden="1" outlineLevel="1" x14ac:dyDescent="0.25">
      <c r="B299" s="15"/>
      <c r="C299" s="15" t="s">
        <v>75</v>
      </c>
      <c r="E299" s="4">
        <v>100</v>
      </c>
      <c r="G299" s="6">
        <v>70</v>
      </c>
      <c r="H299" s="26"/>
      <c r="I299" s="26">
        <v>70</v>
      </c>
    </row>
    <row r="300" spans="2:9" hidden="1" outlineLevel="1" x14ac:dyDescent="0.25">
      <c r="B300" s="15"/>
      <c r="C300" s="15" t="s">
        <v>202</v>
      </c>
      <c r="E300" s="4">
        <v>10</v>
      </c>
      <c r="G300" s="6">
        <v>10</v>
      </c>
      <c r="H300" s="26"/>
      <c r="I300" s="26">
        <v>10</v>
      </c>
    </row>
    <row r="301" spans="2:9" collapsed="1" x14ac:dyDescent="0.25">
      <c r="B301" s="30"/>
      <c r="C301" s="30"/>
      <c r="D301" s="41"/>
      <c r="E301" s="31">
        <f>(1+$D$448+$D$449)*SUM(E292:E300)</f>
        <v>777.00000000000011</v>
      </c>
      <c r="F301" s="50"/>
      <c r="G301" s="32">
        <f>(1+$D$448+$D$449)*SUM(G292:G300)</f>
        <v>532.80000000000007</v>
      </c>
      <c r="H301" s="53"/>
      <c r="I301" s="33">
        <f>(1+$D$448+$D$449)*SUM(I292:I300)</f>
        <v>532.80000000000007</v>
      </c>
    </row>
    <row r="302" spans="2:9" x14ac:dyDescent="0.25">
      <c r="D302" s="38"/>
      <c r="E302"/>
      <c r="F302" s="38"/>
      <c r="G302"/>
      <c r="H302" s="38"/>
      <c r="I302"/>
    </row>
    <row r="303" spans="2:9" x14ac:dyDescent="0.25">
      <c r="B303" s="16" t="s">
        <v>200</v>
      </c>
      <c r="C303" s="15"/>
      <c r="H303" s="26"/>
      <c r="I303" s="26"/>
    </row>
    <row r="304" spans="2:9" hidden="1" outlineLevel="1" x14ac:dyDescent="0.25">
      <c r="B304" s="15"/>
      <c r="C304" s="15" t="s">
        <v>84</v>
      </c>
      <c r="E304" s="4">
        <v>100</v>
      </c>
      <c r="G304" s="6">
        <v>50</v>
      </c>
      <c r="H304" s="26"/>
      <c r="I304" s="26">
        <v>50</v>
      </c>
    </row>
    <row r="305" spans="2:9" hidden="1" outlineLevel="1" x14ac:dyDescent="0.25">
      <c r="B305" s="15"/>
      <c r="C305" s="15" t="s">
        <v>71</v>
      </c>
      <c r="E305" s="4">
        <v>30</v>
      </c>
      <c r="G305" s="6">
        <v>20</v>
      </c>
      <c r="H305" s="26"/>
      <c r="I305" s="26">
        <v>20</v>
      </c>
    </row>
    <row r="306" spans="2:9" hidden="1" outlineLevel="1" x14ac:dyDescent="0.25">
      <c r="B306" s="15"/>
      <c r="C306" s="15" t="s">
        <v>69</v>
      </c>
      <c r="E306" s="4">
        <v>50</v>
      </c>
      <c r="G306" s="6">
        <v>30</v>
      </c>
      <c r="H306" s="26"/>
      <c r="I306" s="26">
        <v>30</v>
      </c>
    </row>
    <row r="307" spans="2:9" hidden="1" outlineLevel="1" x14ac:dyDescent="0.25">
      <c r="B307" s="15"/>
      <c r="C307" s="15" t="s">
        <v>168</v>
      </c>
      <c r="E307" s="4">
        <v>50</v>
      </c>
      <c r="G307" s="6">
        <v>30</v>
      </c>
      <c r="H307" s="26"/>
      <c r="I307" s="26">
        <v>30</v>
      </c>
    </row>
    <row r="308" spans="2:9" hidden="1" outlineLevel="1" x14ac:dyDescent="0.25">
      <c r="B308" s="15"/>
      <c r="C308" s="15" t="s">
        <v>72</v>
      </c>
      <c r="E308" s="4">
        <v>20</v>
      </c>
      <c r="G308" s="6">
        <v>10</v>
      </c>
      <c r="H308" s="26"/>
      <c r="I308" s="26">
        <v>10</v>
      </c>
    </row>
    <row r="309" spans="2:9" hidden="1" outlineLevel="1" x14ac:dyDescent="0.25">
      <c r="B309" s="15"/>
      <c r="C309" s="15" t="s">
        <v>77</v>
      </c>
      <c r="E309" s="4">
        <v>100</v>
      </c>
      <c r="G309" s="6">
        <v>50</v>
      </c>
      <c r="H309" s="26"/>
      <c r="I309" s="26">
        <v>50</v>
      </c>
    </row>
    <row r="310" spans="2:9" hidden="1" outlineLevel="1" x14ac:dyDescent="0.25">
      <c r="B310" s="15"/>
      <c r="C310" s="15" t="s">
        <v>169</v>
      </c>
      <c r="E310" s="4">
        <v>30</v>
      </c>
      <c r="G310" s="6">
        <v>20</v>
      </c>
      <c r="H310" s="26"/>
      <c r="I310" s="26">
        <v>20</v>
      </c>
    </row>
    <row r="311" spans="2:9" hidden="1" outlineLevel="1" x14ac:dyDescent="0.25">
      <c r="B311" s="15"/>
      <c r="C311" s="15" t="s">
        <v>80</v>
      </c>
      <c r="E311" s="4">
        <v>30</v>
      </c>
      <c r="G311" s="6">
        <v>20</v>
      </c>
      <c r="H311" s="26"/>
      <c r="I311" s="26">
        <v>20</v>
      </c>
    </row>
    <row r="312" spans="2:9" collapsed="1" x14ac:dyDescent="0.25">
      <c r="B312" s="30"/>
      <c r="C312" s="30"/>
      <c r="D312" s="41"/>
      <c r="E312" s="31">
        <f>(1+$D$448+$D$449)*SUM(E304:E311)</f>
        <v>455.1</v>
      </c>
      <c r="F312" s="50"/>
      <c r="G312" s="32">
        <f>(1+$D$448+$D$449)*SUM(G304:G311)</f>
        <v>255.3</v>
      </c>
      <c r="H312" s="53"/>
      <c r="I312" s="33">
        <f>(1+$D$448+$D$449)*SUM(I304:I311)</f>
        <v>255.3</v>
      </c>
    </row>
    <row r="313" spans="2:9" x14ac:dyDescent="0.25">
      <c r="D313" s="38"/>
      <c r="E313"/>
      <c r="F313" s="38"/>
      <c r="G313"/>
      <c r="H313" s="38"/>
      <c r="I313"/>
    </row>
    <row r="314" spans="2:9" x14ac:dyDescent="0.25">
      <c r="B314" s="16" t="s">
        <v>242</v>
      </c>
      <c r="C314" s="15"/>
      <c r="H314" s="26"/>
      <c r="I314" s="26"/>
    </row>
    <row r="315" spans="2:9" hidden="1" outlineLevel="1" x14ac:dyDescent="0.25">
      <c r="B315" s="15"/>
      <c r="C315" s="15" t="s">
        <v>199</v>
      </c>
      <c r="E315" s="4">
        <v>100</v>
      </c>
      <c r="G315" s="6">
        <v>50</v>
      </c>
      <c r="H315" s="26"/>
      <c r="I315" s="26">
        <v>50</v>
      </c>
    </row>
    <row r="316" spans="2:9" hidden="1" outlineLevel="1" x14ac:dyDescent="0.25">
      <c r="B316" s="15"/>
      <c r="C316" s="15" t="s">
        <v>87</v>
      </c>
      <c r="E316" s="4">
        <v>30</v>
      </c>
      <c r="G316" s="6">
        <v>20</v>
      </c>
      <c r="H316" s="26"/>
      <c r="I316" s="26">
        <v>20</v>
      </c>
    </row>
    <row r="317" spans="2:9" hidden="1" outlineLevel="1" x14ac:dyDescent="0.25">
      <c r="B317" s="15"/>
      <c r="C317" s="15" t="s">
        <v>93</v>
      </c>
      <c r="E317" s="4">
        <v>100</v>
      </c>
      <c r="G317" s="6">
        <v>50</v>
      </c>
      <c r="H317" s="26"/>
      <c r="I317" s="26">
        <v>50</v>
      </c>
    </row>
    <row r="318" spans="2:9" hidden="1" outlineLevel="1" x14ac:dyDescent="0.25">
      <c r="B318" s="15"/>
      <c r="C318" s="15" t="s">
        <v>94</v>
      </c>
      <c r="E318" s="4">
        <v>30</v>
      </c>
      <c r="G318" s="6">
        <v>20</v>
      </c>
      <c r="H318" s="26"/>
      <c r="I318" s="26">
        <v>20</v>
      </c>
    </row>
    <row r="319" spans="2:9" hidden="1" outlineLevel="1" x14ac:dyDescent="0.25">
      <c r="B319" s="15"/>
      <c r="C319" s="15" t="s">
        <v>65</v>
      </c>
      <c r="E319" s="4">
        <v>30</v>
      </c>
      <c r="G319" s="6">
        <v>20</v>
      </c>
      <c r="H319" s="26"/>
      <c r="I319" s="26">
        <v>20</v>
      </c>
    </row>
    <row r="320" spans="2:9" hidden="1" outlineLevel="1" x14ac:dyDescent="0.25">
      <c r="B320" s="15"/>
      <c r="C320" s="15" t="s">
        <v>66</v>
      </c>
      <c r="E320" s="4">
        <v>30</v>
      </c>
      <c r="G320" s="6">
        <v>20</v>
      </c>
      <c r="H320" s="26"/>
      <c r="I320" s="26">
        <v>20</v>
      </c>
    </row>
    <row r="321" spans="2:9" hidden="1" outlineLevel="1" x14ac:dyDescent="0.25">
      <c r="B321" s="15"/>
      <c r="C321" s="15" t="s">
        <v>68</v>
      </c>
      <c r="E321" s="4">
        <v>60</v>
      </c>
      <c r="G321" s="6">
        <v>40</v>
      </c>
      <c r="H321" s="26"/>
      <c r="I321" s="26">
        <v>40</v>
      </c>
    </row>
    <row r="322" spans="2:9" collapsed="1" x14ac:dyDescent="0.25">
      <c r="B322" s="30"/>
      <c r="C322" s="30"/>
      <c r="D322" s="41"/>
      <c r="E322" s="31">
        <f>(1+$D$448+$D$449)*SUM(E315:E321)</f>
        <v>421.8</v>
      </c>
      <c r="F322" s="50"/>
      <c r="G322" s="32">
        <f>(1+$D$448+$D$449)*SUM(G315:G321)</f>
        <v>244.20000000000002</v>
      </c>
      <c r="H322" s="53"/>
      <c r="I322" s="33">
        <f>(1+$D$448+$D$449)*SUM(I315:I321)</f>
        <v>244.20000000000002</v>
      </c>
    </row>
    <row r="323" spans="2:9" x14ac:dyDescent="0.25">
      <c r="D323" s="38"/>
      <c r="E323"/>
      <c r="F323" s="38"/>
      <c r="G323"/>
      <c r="H323" s="38"/>
      <c r="I323"/>
    </row>
    <row r="324" spans="2:9" x14ac:dyDescent="0.25">
      <c r="B324" s="16" t="s">
        <v>173</v>
      </c>
      <c r="C324" s="15"/>
      <c r="H324" s="26"/>
      <c r="I324" s="26"/>
    </row>
    <row r="325" spans="2:9" hidden="1" outlineLevel="1" x14ac:dyDescent="0.25">
      <c r="B325" s="15"/>
      <c r="C325" s="15" t="s">
        <v>86</v>
      </c>
      <c r="E325" s="4">
        <v>75</v>
      </c>
      <c r="G325" s="6">
        <v>50</v>
      </c>
      <c r="H325" s="26"/>
      <c r="I325" s="26">
        <v>50</v>
      </c>
    </row>
    <row r="326" spans="2:9" hidden="1" outlineLevel="1" x14ac:dyDescent="0.25">
      <c r="B326" s="15"/>
      <c r="C326" s="15" t="s">
        <v>204</v>
      </c>
      <c r="E326" s="4">
        <v>10</v>
      </c>
      <c r="G326" s="6">
        <v>10</v>
      </c>
      <c r="H326" s="26"/>
      <c r="I326" s="26">
        <v>10</v>
      </c>
    </row>
    <row r="327" spans="2:9" hidden="1" outlineLevel="1" x14ac:dyDescent="0.25">
      <c r="B327" s="15"/>
      <c r="C327" s="15" t="s">
        <v>178</v>
      </c>
      <c r="E327" s="4">
        <v>20</v>
      </c>
      <c r="G327" s="6">
        <v>20</v>
      </c>
      <c r="H327" s="26"/>
      <c r="I327" s="26">
        <v>20</v>
      </c>
    </row>
    <row r="328" spans="2:9" hidden="1" outlineLevel="1" x14ac:dyDescent="0.25">
      <c r="B328" s="15"/>
      <c r="C328" s="15" t="s">
        <v>205</v>
      </c>
      <c r="E328" s="4">
        <v>100</v>
      </c>
      <c r="G328" s="6">
        <v>100</v>
      </c>
      <c r="H328" s="26"/>
      <c r="I328" s="26">
        <v>100</v>
      </c>
    </row>
    <row r="329" spans="2:9" hidden="1" outlineLevel="1" x14ac:dyDescent="0.25">
      <c r="B329" s="15"/>
      <c r="C329" s="15" t="s">
        <v>209</v>
      </c>
      <c r="E329" s="4">
        <v>50</v>
      </c>
      <c r="G329" s="6">
        <v>50</v>
      </c>
      <c r="H329" s="26"/>
      <c r="I329" s="26">
        <v>50</v>
      </c>
    </row>
    <row r="330" spans="2:9" hidden="1" outlineLevel="1" x14ac:dyDescent="0.25">
      <c r="B330" s="15"/>
      <c r="C330" s="15" t="s">
        <v>210</v>
      </c>
      <c r="E330" s="4">
        <v>50</v>
      </c>
      <c r="G330" s="6">
        <v>50</v>
      </c>
      <c r="H330" s="26"/>
      <c r="I330" s="26">
        <v>50</v>
      </c>
    </row>
    <row r="331" spans="2:9" hidden="1" outlineLevel="1" x14ac:dyDescent="0.25">
      <c r="B331" s="15"/>
      <c r="C331" s="15" t="s">
        <v>206</v>
      </c>
      <c r="E331" s="4">
        <v>100</v>
      </c>
      <c r="G331" s="6">
        <v>70</v>
      </c>
      <c r="H331" s="26"/>
      <c r="I331" s="26">
        <v>70</v>
      </c>
    </row>
    <row r="332" spans="2:9" hidden="1" outlineLevel="1" x14ac:dyDescent="0.25">
      <c r="B332" s="15"/>
      <c r="C332" s="15" t="s">
        <v>207</v>
      </c>
      <c r="E332" s="4">
        <v>100</v>
      </c>
      <c r="G332" s="6">
        <v>50</v>
      </c>
      <c r="H332" s="26"/>
      <c r="I332" s="26">
        <v>50</v>
      </c>
    </row>
    <row r="333" spans="2:9" hidden="1" outlineLevel="1" x14ac:dyDescent="0.25">
      <c r="B333" s="15"/>
      <c r="C333" s="15" t="s">
        <v>208</v>
      </c>
      <c r="E333" s="4">
        <v>60</v>
      </c>
      <c r="G333" s="6">
        <v>40</v>
      </c>
      <c r="H333" s="26"/>
      <c r="I333" s="26">
        <v>40</v>
      </c>
    </row>
    <row r="334" spans="2:9" hidden="1" outlineLevel="1" x14ac:dyDescent="0.25">
      <c r="B334" s="15"/>
      <c r="C334" s="15" t="s">
        <v>187</v>
      </c>
      <c r="E334" s="4">
        <v>30</v>
      </c>
      <c r="G334" s="6">
        <v>30</v>
      </c>
      <c r="H334" s="26"/>
      <c r="I334" s="26">
        <v>30</v>
      </c>
    </row>
    <row r="335" spans="2:9" hidden="1" outlineLevel="1" x14ac:dyDescent="0.25">
      <c r="B335" s="15"/>
      <c r="C335" s="15" t="s">
        <v>212</v>
      </c>
      <c r="E335" s="4">
        <v>15</v>
      </c>
      <c r="G335" s="6">
        <v>15</v>
      </c>
      <c r="H335" s="26"/>
      <c r="I335" s="26">
        <v>15</v>
      </c>
    </row>
    <row r="336" spans="2:9" hidden="1" outlineLevel="1" x14ac:dyDescent="0.25">
      <c r="B336" s="15"/>
      <c r="C336" s="15" t="s">
        <v>213</v>
      </c>
      <c r="E336" s="4">
        <v>50</v>
      </c>
      <c r="G336" s="6">
        <v>35</v>
      </c>
      <c r="H336" s="26"/>
      <c r="I336" s="26">
        <v>35</v>
      </c>
    </row>
    <row r="337" spans="2:9" hidden="1" outlineLevel="1" x14ac:dyDescent="0.25">
      <c r="B337" s="15"/>
      <c r="C337" s="15" t="s">
        <v>214</v>
      </c>
      <c r="E337" s="4">
        <v>10</v>
      </c>
      <c r="G337" s="6">
        <v>10</v>
      </c>
      <c r="H337" s="26"/>
      <c r="I337" s="26">
        <v>10</v>
      </c>
    </row>
    <row r="338" spans="2:9" hidden="1" outlineLevel="1" x14ac:dyDescent="0.25">
      <c r="B338" s="15"/>
      <c r="C338" s="15" t="s">
        <v>76</v>
      </c>
      <c r="E338" s="4">
        <v>30</v>
      </c>
      <c r="G338" s="6">
        <v>15</v>
      </c>
      <c r="H338" s="26"/>
      <c r="I338" s="26">
        <v>15</v>
      </c>
    </row>
    <row r="339" spans="2:9" hidden="1" outlineLevel="1" x14ac:dyDescent="0.25">
      <c r="B339" s="15"/>
      <c r="C339" s="15" t="s">
        <v>179</v>
      </c>
      <c r="E339" s="4">
        <v>30</v>
      </c>
      <c r="G339" s="6">
        <v>20</v>
      </c>
      <c r="H339" s="26"/>
      <c r="I339" s="26">
        <v>20</v>
      </c>
    </row>
    <row r="340" spans="2:9" hidden="1" outlineLevel="1" x14ac:dyDescent="0.25">
      <c r="B340" s="15"/>
      <c r="C340" s="15" t="s">
        <v>175</v>
      </c>
      <c r="E340" s="4">
        <v>200</v>
      </c>
      <c r="G340" s="6">
        <v>150</v>
      </c>
      <c r="H340" s="26"/>
      <c r="I340" s="26">
        <v>150</v>
      </c>
    </row>
    <row r="341" spans="2:9" hidden="1" outlineLevel="1" x14ac:dyDescent="0.25">
      <c r="B341" s="15"/>
      <c r="C341" s="15" t="s">
        <v>176</v>
      </c>
      <c r="E341" s="4">
        <v>150</v>
      </c>
      <c r="G341" s="6">
        <v>120</v>
      </c>
      <c r="H341" s="26"/>
      <c r="I341" s="26">
        <v>120</v>
      </c>
    </row>
    <row r="342" spans="2:9" hidden="1" outlineLevel="1" x14ac:dyDescent="0.25">
      <c r="B342" s="15"/>
      <c r="C342" s="15" t="s">
        <v>180</v>
      </c>
      <c r="E342" s="4">
        <v>150</v>
      </c>
      <c r="G342" s="6">
        <v>100</v>
      </c>
      <c r="H342" s="26"/>
      <c r="I342" s="26">
        <v>100</v>
      </c>
    </row>
    <row r="343" spans="2:9" hidden="1" outlineLevel="1" x14ac:dyDescent="0.25">
      <c r="B343" s="15"/>
      <c r="C343" s="15" t="s">
        <v>211</v>
      </c>
      <c r="E343" s="4">
        <v>70</v>
      </c>
      <c r="G343" s="6">
        <v>50</v>
      </c>
      <c r="H343" s="26"/>
      <c r="I343" s="26">
        <v>50</v>
      </c>
    </row>
    <row r="344" spans="2:9" hidden="1" outlineLevel="1" x14ac:dyDescent="0.25">
      <c r="B344" s="15"/>
      <c r="C344" s="15" t="s">
        <v>177</v>
      </c>
      <c r="E344" s="4">
        <v>80</v>
      </c>
      <c r="G344" s="6">
        <v>50</v>
      </c>
      <c r="H344" s="26"/>
      <c r="I344" s="26">
        <v>50</v>
      </c>
    </row>
    <row r="345" spans="2:9" hidden="1" outlineLevel="1" x14ac:dyDescent="0.25">
      <c r="B345" s="15"/>
      <c r="C345" s="15" t="s">
        <v>184</v>
      </c>
      <c r="E345" s="4">
        <v>170</v>
      </c>
      <c r="G345" s="6">
        <v>130</v>
      </c>
      <c r="H345" s="26"/>
      <c r="I345" s="26">
        <v>130</v>
      </c>
    </row>
    <row r="346" spans="2:9" hidden="1" outlineLevel="1" x14ac:dyDescent="0.25">
      <c r="B346" s="15"/>
      <c r="C346" s="15" t="s">
        <v>194</v>
      </c>
      <c r="E346" s="4">
        <v>50</v>
      </c>
      <c r="G346" s="6">
        <v>30</v>
      </c>
      <c r="H346" s="26"/>
      <c r="I346" s="26">
        <v>30</v>
      </c>
    </row>
    <row r="347" spans="2:9" collapsed="1" x14ac:dyDescent="0.25">
      <c r="B347" s="30"/>
      <c r="C347" s="30"/>
      <c r="D347" s="41"/>
      <c r="E347" s="31">
        <f>(1+$D$448+$D$449)*SUM(E325:E346)</f>
        <v>1776.0000000000002</v>
      </c>
      <c r="F347" s="50"/>
      <c r="G347" s="32">
        <f>(1+$D$448+$D$449)*SUM(G325:G346)</f>
        <v>1326.45</v>
      </c>
      <c r="H347" s="53"/>
      <c r="I347" s="33">
        <f>(1+$D$448+$D$449)*SUM(I325:I346)</f>
        <v>1326.45</v>
      </c>
    </row>
    <row r="348" spans="2:9" x14ac:dyDescent="0.25">
      <c r="D348" s="38"/>
      <c r="E348"/>
      <c r="F348" s="38"/>
      <c r="G348"/>
      <c r="H348" s="38"/>
      <c r="I348"/>
    </row>
    <row r="349" spans="2:9" x14ac:dyDescent="0.25">
      <c r="B349" s="54" t="s">
        <v>305</v>
      </c>
      <c r="C349" s="15"/>
      <c r="H349" s="26"/>
      <c r="I349" s="26"/>
    </row>
    <row r="350" spans="2:9" hidden="1" outlineLevel="1" x14ac:dyDescent="0.25">
      <c r="B350" s="15"/>
      <c r="C350" s="15" t="s">
        <v>327</v>
      </c>
      <c r="E350" s="4">
        <v>100</v>
      </c>
      <c r="G350" s="6">
        <v>100</v>
      </c>
      <c r="H350" s="26"/>
      <c r="I350" s="26">
        <v>100</v>
      </c>
    </row>
    <row r="351" spans="2:9" hidden="1" outlineLevel="1" x14ac:dyDescent="0.25">
      <c r="B351" s="15"/>
      <c r="C351" s="15" t="s">
        <v>326</v>
      </c>
      <c r="E351" s="4">
        <v>100</v>
      </c>
      <c r="G351" s="6">
        <v>100</v>
      </c>
      <c r="H351" s="26"/>
      <c r="I351" s="26">
        <v>100</v>
      </c>
    </row>
    <row r="352" spans="2:9" hidden="1" outlineLevel="1" x14ac:dyDescent="0.25">
      <c r="B352" s="15"/>
      <c r="C352" s="15" t="s">
        <v>306</v>
      </c>
      <c r="E352" s="4">
        <v>50</v>
      </c>
      <c r="G352" s="6">
        <v>50</v>
      </c>
      <c r="H352" s="26"/>
      <c r="I352" s="26">
        <v>50</v>
      </c>
    </row>
    <row r="353" spans="2:9" hidden="1" outlineLevel="1" x14ac:dyDescent="0.25">
      <c r="B353" s="15"/>
      <c r="C353" s="15" t="s">
        <v>307</v>
      </c>
      <c r="E353" s="4">
        <v>100</v>
      </c>
      <c r="G353" s="6">
        <v>100</v>
      </c>
      <c r="H353" s="26"/>
      <c r="I353" s="26">
        <v>100</v>
      </c>
    </row>
    <row r="354" spans="2:9" hidden="1" outlineLevel="1" x14ac:dyDescent="0.25">
      <c r="B354" s="15"/>
      <c r="C354" s="15" t="s">
        <v>308</v>
      </c>
      <c r="E354" s="4">
        <v>50</v>
      </c>
      <c r="G354" s="6">
        <v>50</v>
      </c>
      <c r="H354" s="26"/>
      <c r="I354" s="26">
        <v>50</v>
      </c>
    </row>
    <row r="355" spans="2:9" hidden="1" outlineLevel="1" x14ac:dyDescent="0.25">
      <c r="B355" s="15"/>
      <c r="C355" s="15" t="s">
        <v>309</v>
      </c>
      <c r="E355" s="4">
        <v>200</v>
      </c>
      <c r="G355" s="6">
        <v>200</v>
      </c>
      <c r="H355" s="26"/>
      <c r="I355" s="26">
        <v>200</v>
      </c>
    </row>
    <row r="356" spans="2:9" hidden="1" outlineLevel="1" x14ac:dyDescent="0.25">
      <c r="B356" s="15"/>
      <c r="C356" s="15" t="s">
        <v>310</v>
      </c>
      <c r="E356" s="4">
        <v>60</v>
      </c>
      <c r="G356" s="6">
        <v>60</v>
      </c>
      <c r="H356" s="26"/>
      <c r="I356" s="26">
        <v>60</v>
      </c>
    </row>
    <row r="357" spans="2:9" hidden="1" outlineLevel="1" x14ac:dyDescent="0.25">
      <c r="B357" s="15"/>
      <c r="C357" s="15" t="s">
        <v>311</v>
      </c>
      <c r="E357" s="4">
        <v>25</v>
      </c>
      <c r="G357" s="6">
        <v>25</v>
      </c>
      <c r="H357" s="26"/>
      <c r="I357" s="26">
        <v>25</v>
      </c>
    </row>
    <row r="358" spans="2:9" hidden="1" outlineLevel="1" x14ac:dyDescent="0.25">
      <c r="B358" s="15"/>
      <c r="C358" s="15" t="s">
        <v>312</v>
      </c>
      <c r="E358" s="4">
        <v>40</v>
      </c>
      <c r="G358" s="6">
        <v>40</v>
      </c>
      <c r="H358" s="26"/>
      <c r="I358" s="26">
        <v>40</v>
      </c>
    </row>
    <row r="359" spans="2:9" hidden="1" outlineLevel="1" x14ac:dyDescent="0.25">
      <c r="B359" s="15"/>
      <c r="C359" s="15" t="s">
        <v>313</v>
      </c>
      <c r="E359" s="4">
        <v>250</v>
      </c>
      <c r="G359" s="6">
        <v>250</v>
      </c>
      <c r="H359" s="26"/>
      <c r="I359" s="26">
        <v>250</v>
      </c>
    </row>
    <row r="360" spans="2:9" hidden="1" outlineLevel="1" x14ac:dyDescent="0.25">
      <c r="B360" s="15"/>
      <c r="C360" s="15" t="s">
        <v>314</v>
      </c>
      <c r="E360" s="4">
        <v>100</v>
      </c>
      <c r="G360" s="6">
        <v>100</v>
      </c>
      <c r="H360" s="26"/>
      <c r="I360" s="26">
        <v>100</v>
      </c>
    </row>
    <row r="361" spans="2:9" hidden="1" outlineLevel="1" x14ac:dyDescent="0.25">
      <c r="B361" s="15"/>
      <c r="C361" s="15" t="s">
        <v>315</v>
      </c>
      <c r="E361" s="4">
        <v>300</v>
      </c>
      <c r="G361" s="6">
        <v>300</v>
      </c>
      <c r="H361" s="26"/>
      <c r="I361" s="26">
        <v>300</v>
      </c>
    </row>
    <row r="362" spans="2:9" hidden="1" outlineLevel="1" x14ac:dyDescent="0.25">
      <c r="B362" s="15"/>
      <c r="C362" s="15" t="s">
        <v>316</v>
      </c>
      <c r="E362" s="4">
        <v>500</v>
      </c>
      <c r="G362" s="6">
        <v>500</v>
      </c>
      <c r="H362" s="26"/>
      <c r="I362" s="26">
        <v>500</v>
      </c>
    </row>
    <row r="363" spans="2:9" hidden="1" outlineLevel="1" x14ac:dyDescent="0.25">
      <c r="B363" s="15"/>
      <c r="C363" s="15" t="s">
        <v>317</v>
      </c>
      <c r="E363" s="4">
        <v>50</v>
      </c>
      <c r="G363" s="6">
        <v>50</v>
      </c>
      <c r="H363" s="26"/>
      <c r="I363" s="26">
        <v>50</v>
      </c>
    </row>
    <row r="364" spans="2:9" hidden="1" outlineLevel="1" x14ac:dyDescent="0.25">
      <c r="B364" s="15"/>
      <c r="C364" s="15" t="s">
        <v>318</v>
      </c>
      <c r="E364" s="4">
        <v>50</v>
      </c>
      <c r="G364" s="6">
        <v>50</v>
      </c>
      <c r="H364" s="26"/>
      <c r="I364" s="26">
        <v>50</v>
      </c>
    </row>
    <row r="365" spans="2:9" hidden="1" outlineLevel="1" x14ac:dyDescent="0.25">
      <c r="B365" s="15"/>
      <c r="C365" s="15" t="s">
        <v>319</v>
      </c>
      <c r="E365" s="4">
        <v>100</v>
      </c>
      <c r="G365" s="6">
        <v>100</v>
      </c>
      <c r="H365" s="26"/>
      <c r="I365" s="26">
        <v>100</v>
      </c>
    </row>
    <row r="366" spans="2:9" hidden="1" outlineLevel="1" x14ac:dyDescent="0.25">
      <c r="B366" s="15"/>
      <c r="C366" s="15" t="s">
        <v>320</v>
      </c>
      <c r="E366" s="4">
        <v>60</v>
      </c>
      <c r="G366" s="6">
        <v>60</v>
      </c>
      <c r="H366" s="26"/>
      <c r="I366" s="26">
        <v>60</v>
      </c>
    </row>
    <row r="367" spans="2:9" hidden="1" outlineLevel="1" x14ac:dyDescent="0.25">
      <c r="B367" s="15"/>
      <c r="C367" s="15" t="s">
        <v>321</v>
      </c>
      <c r="E367" s="4">
        <v>50</v>
      </c>
      <c r="G367" s="6">
        <v>50</v>
      </c>
      <c r="H367" s="26"/>
      <c r="I367" s="26">
        <v>50</v>
      </c>
    </row>
    <row r="368" spans="2:9" hidden="1" outlineLevel="1" x14ac:dyDescent="0.25">
      <c r="B368" s="15"/>
      <c r="C368" s="15" t="s">
        <v>322</v>
      </c>
      <c r="E368" s="4">
        <v>150</v>
      </c>
      <c r="G368" s="6">
        <v>150</v>
      </c>
      <c r="H368" s="26"/>
      <c r="I368" s="26">
        <v>150</v>
      </c>
    </row>
    <row r="369" spans="2:9" hidden="1" outlineLevel="1" x14ac:dyDescent="0.25">
      <c r="B369" s="15"/>
      <c r="C369" s="15" t="s">
        <v>323</v>
      </c>
      <c r="E369" s="4">
        <v>40</v>
      </c>
      <c r="G369" s="6">
        <v>40</v>
      </c>
      <c r="H369" s="26"/>
      <c r="I369" s="26">
        <v>40</v>
      </c>
    </row>
    <row r="370" spans="2:9" hidden="1" outlineLevel="1" x14ac:dyDescent="0.25">
      <c r="B370" s="15"/>
      <c r="C370" s="15" t="s">
        <v>324</v>
      </c>
      <c r="E370" s="4">
        <v>500</v>
      </c>
      <c r="G370" s="6">
        <v>0</v>
      </c>
      <c r="H370" s="26"/>
      <c r="I370" s="26">
        <v>0</v>
      </c>
    </row>
    <row r="371" spans="2:9" hidden="1" outlineLevel="1" x14ac:dyDescent="0.25">
      <c r="B371" s="15"/>
      <c r="C371" s="15" t="s">
        <v>325</v>
      </c>
      <c r="E371" s="4">
        <v>60</v>
      </c>
      <c r="G371" s="6">
        <v>60</v>
      </c>
      <c r="H371" s="26"/>
      <c r="I371" s="26">
        <v>60</v>
      </c>
    </row>
    <row r="372" spans="2:9" collapsed="1" x14ac:dyDescent="0.25">
      <c r="B372" s="30"/>
      <c r="C372" s="30"/>
      <c r="D372" s="41"/>
      <c r="E372" s="31">
        <f>(1+$D$448+$D$449)*SUM(E350:E371)</f>
        <v>3257.8500000000004</v>
      </c>
      <c r="F372" s="50"/>
      <c r="G372" s="32">
        <f>(1+$D$448+$D$449)*SUM(G350:G371)</f>
        <v>2702.8500000000004</v>
      </c>
      <c r="H372" s="53"/>
      <c r="I372" s="33">
        <f>(1+$D$448+$D$449)*SUM(I350:I371)</f>
        <v>2702.8500000000004</v>
      </c>
    </row>
    <row r="373" spans="2:9" x14ac:dyDescent="0.25">
      <c r="D373" s="38"/>
      <c r="E373"/>
      <c r="F373" s="38"/>
      <c r="G373"/>
      <c r="H373" s="38"/>
      <c r="I373"/>
    </row>
    <row r="374" spans="2:9" x14ac:dyDescent="0.25">
      <c r="B374" s="54" t="s">
        <v>298</v>
      </c>
      <c r="C374" s="15"/>
      <c r="H374" s="26"/>
      <c r="I374" s="26"/>
    </row>
    <row r="375" spans="2:9" hidden="1" outlineLevel="1" x14ac:dyDescent="0.25">
      <c r="B375" s="15"/>
      <c r="C375" s="15" t="s">
        <v>328</v>
      </c>
      <c r="E375" s="4">
        <v>25</v>
      </c>
      <c r="G375" s="6">
        <v>25</v>
      </c>
      <c r="H375" s="26"/>
      <c r="I375" s="26">
        <v>20</v>
      </c>
    </row>
    <row r="376" spans="2:9" hidden="1" outlineLevel="1" x14ac:dyDescent="0.25">
      <c r="B376" s="15"/>
      <c r="C376" s="15" t="s">
        <v>329</v>
      </c>
      <c r="E376" s="4">
        <v>15</v>
      </c>
      <c r="G376" s="6">
        <v>15</v>
      </c>
      <c r="H376" s="26"/>
      <c r="I376" s="26">
        <v>12</v>
      </c>
    </row>
    <row r="377" spans="2:9" hidden="1" outlineLevel="1" x14ac:dyDescent="0.25">
      <c r="B377" s="15"/>
      <c r="C377" s="15" t="s">
        <v>330</v>
      </c>
      <c r="E377" s="4">
        <v>40</v>
      </c>
      <c r="G377" s="6">
        <v>40</v>
      </c>
      <c r="H377" s="26"/>
      <c r="I377" s="26">
        <v>30</v>
      </c>
    </row>
    <row r="378" spans="2:9" hidden="1" outlineLevel="1" x14ac:dyDescent="0.25">
      <c r="B378" s="15"/>
      <c r="C378" s="15" t="s">
        <v>331</v>
      </c>
      <c r="E378" s="4">
        <v>30</v>
      </c>
      <c r="G378" s="6">
        <v>30</v>
      </c>
      <c r="H378" s="26"/>
      <c r="I378" s="26">
        <v>20</v>
      </c>
    </row>
    <row r="379" spans="2:9" hidden="1" outlineLevel="1" x14ac:dyDescent="0.25">
      <c r="B379" s="15"/>
      <c r="C379" s="15" t="s">
        <v>318</v>
      </c>
      <c r="E379" s="4">
        <v>30</v>
      </c>
      <c r="G379" s="6">
        <v>30</v>
      </c>
      <c r="H379" s="26"/>
      <c r="I379" s="26">
        <v>20</v>
      </c>
    </row>
    <row r="380" spans="2:9" hidden="1" outlineLevel="1" x14ac:dyDescent="0.25">
      <c r="B380" s="15"/>
      <c r="C380" s="15" t="s">
        <v>332</v>
      </c>
      <c r="E380" s="4">
        <v>60</v>
      </c>
      <c r="G380" s="6">
        <v>60</v>
      </c>
      <c r="H380" s="26"/>
      <c r="I380" s="26">
        <v>50</v>
      </c>
    </row>
    <row r="381" spans="2:9" hidden="1" outlineLevel="1" x14ac:dyDescent="0.25">
      <c r="B381" s="15"/>
      <c r="C381" s="15" t="s">
        <v>334</v>
      </c>
      <c r="E381" s="4">
        <v>20</v>
      </c>
      <c r="G381" s="6">
        <v>20</v>
      </c>
      <c r="H381" s="26"/>
      <c r="I381" s="26">
        <v>15</v>
      </c>
    </row>
    <row r="382" spans="2:9" hidden="1" outlineLevel="1" x14ac:dyDescent="0.25">
      <c r="B382" s="15"/>
      <c r="C382" s="15" t="s">
        <v>335</v>
      </c>
      <c r="E382" s="4">
        <v>30</v>
      </c>
      <c r="G382" s="6">
        <v>30</v>
      </c>
      <c r="H382" s="26"/>
      <c r="I382" s="26">
        <v>20</v>
      </c>
    </row>
    <row r="383" spans="2:9" hidden="1" outlineLevel="1" x14ac:dyDescent="0.25">
      <c r="B383" s="15"/>
      <c r="C383" s="15" t="s">
        <v>337</v>
      </c>
      <c r="E383" s="4">
        <v>40</v>
      </c>
      <c r="G383" s="6">
        <v>40</v>
      </c>
      <c r="H383" s="26"/>
      <c r="I383" s="26">
        <v>30</v>
      </c>
    </row>
    <row r="384" spans="2:9" hidden="1" outlineLevel="1" x14ac:dyDescent="0.25">
      <c r="B384" s="15"/>
      <c r="C384" s="15" t="s">
        <v>338</v>
      </c>
      <c r="E384" s="4">
        <v>20</v>
      </c>
      <c r="G384" s="6">
        <v>20</v>
      </c>
      <c r="H384" s="26"/>
      <c r="I384" s="26">
        <v>15</v>
      </c>
    </row>
    <row r="385" spans="2:9" hidden="1" outlineLevel="1" x14ac:dyDescent="0.25">
      <c r="B385" s="15"/>
      <c r="C385" s="15" t="s">
        <v>299</v>
      </c>
      <c r="E385" s="4">
        <v>90</v>
      </c>
      <c r="G385" s="6">
        <v>60</v>
      </c>
      <c r="H385" s="26"/>
      <c r="I385" s="26">
        <v>50</v>
      </c>
    </row>
    <row r="386" spans="2:9" hidden="1" outlineLevel="1" x14ac:dyDescent="0.25">
      <c r="B386" s="15"/>
      <c r="C386" s="15" t="s">
        <v>333</v>
      </c>
      <c r="E386" s="4">
        <v>10</v>
      </c>
      <c r="G386" s="6">
        <v>10</v>
      </c>
      <c r="H386" s="26"/>
      <c r="I386" s="26">
        <v>5</v>
      </c>
    </row>
    <row r="387" spans="2:9" collapsed="1" x14ac:dyDescent="0.25">
      <c r="B387" s="30"/>
      <c r="C387" s="30"/>
      <c r="D387" s="41"/>
      <c r="E387" s="31">
        <f>(1+$D$448+$D$449)*SUM(E375:E386)</f>
        <v>455.1</v>
      </c>
      <c r="F387" s="50"/>
      <c r="G387" s="32">
        <f>(1+$D$448+$D$449)*SUM(G375:G386)</f>
        <v>421.8</v>
      </c>
      <c r="H387" s="53"/>
      <c r="I387" s="33">
        <f>(1+$D$448+$D$449)*SUM(I375:I386)</f>
        <v>318.57000000000005</v>
      </c>
    </row>
    <row r="388" spans="2:9" x14ac:dyDescent="0.25">
      <c r="B388"/>
      <c r="D388" s="38"/>
      <c r="E388"/>
      <c r="F388" s="38"/>
      <c r="G388"/>
      <c r="H388" s="38"/>
      <c r="I388"/>
    </row>
    <row r="389" spans="2:9" x14ac:dyDescent="0.25">
      <c r="B389" s="16" t="s">
        <v>620</v>
      </c>
      <c r="C389" s="15"/>
      <c r="D389" s="43"/>
      <c r="E389" s="5"/>
      <c r="F389" s="52"/>
      <c r="G389" s="7"/>
      <c r="H389" s="27"/>
      <c r="I389" s="27"/>
    </row>
    <row r="390" spans="2:9" hidden="1" outlineLevel="1" x14ac:dyDescent="0.25">
      <c r="B390" s="15"/>
      <c r="C390" s="15" t="s">
        <v>621</v>
      </c>
      <c r="E390" s="4">
        <v>500</v>
      </c>
      <c r="G390" s="6">
        <v>400</v>
      </c>
      <c r="H390" s="26"/>
      <c r="I390" s="26">
        <v>300</v>
      </c>
    </row>
    <row r="391" spans="2:9" hidden="1" outlineLevel="1" x14ac:dyDescent="0.25">
      <c r="B391" s="15"/>
      <c r="C391" s="15" t="s">
        <v>622</v>
      </c>
      <c r="E391" s="4">
        <v>800</v>
      </c>
      <c r="G391" s="6">
        <v>600</v>
      </c>
      <c r="H391" s="26"/>
      <c r="I391" s="26">
        <v>500</v>
      </c>
    </row>
    <row r="392" spans="2:9" collapsed="1" x14ac:dyDescent="0.25">
      <c r="B392" s="30"/>
      <c r="C392" s="30"/>
      <c r="D392" s="41"/>
      <c r="E392" s="31">
        <f>(1+$D$448+$D$449)*SUM(E390:E391)</f>
        <v>1443.0000000000002</v>
      </c>
      <c r="F392" s="50"/>
      <c r="G392" s="32">
        <f>(1+$D$448+$D$449)*SUM(G390:G391)</f>
        <v>1110</v>
      </c>
      <c r="H392" s="53"/>
      <c r="I392" s="33">
        <f>(1+$D$448+$D$449)*SUM(I390:I391)</f>
        <v>888.00000000000011</v>
      </c>
    </row>
    <row r="393" spans="2:9" x14ac:dyDescent="0.25">
      <c r="D393" s="38"/>
      <c r="E393"/>
      <c r="F393" s="38"/>
      <c r="G393"/>
      <c r="H393" s="38"/>
      <c r="I393"/>
    </row>
    <row r="394" spans="2:9" x14ac:dyDescent="0.25">
      <c r="B394" s="16" t="s">
        <v>59</v>
      </c>
      <c r="C394" s="15"/>
      <c r="D394" s="43"/>
      <c r="E394" s="5"/>
      <c r="F394" s="52"/>
      <c r="G394" s="7"/>
      <c r="H394" s="27"/>
      <c r="I394" s="27"/>
    </row>
    <row r="395" spans="2:9" hidden="1" outlineLevel="1" x14ac:dyDescent="0.25">
      <c r="B395" s="15"/>
      <c r="C395" s="15" t="s">
        <v>67</v>
      </c>
      <c r="E395" s="4">
        <v>20</v>
      </c>
      <c r="G395" s="6">
        <v>10</v>
      </c>
      <c r="H395" s="26"/>
      <c r="I395" s="26">
        <v>10</v>
      </c>
    </row>
    <row r="396" spans="2:9" hidden="1" outlineLevel="1" x14ac:dyDescent="0.25">
      <c r="B396" s="15"/>
      <c r="C396" s="15" t="s">
        <v>70</v>
      </c>
      <c r="E396" s="4">
        <v>50</v>
      </c>
      <c r="G396" s="6">
        <v>30</v>
      </c>
      <c r="H396" s="26"/>
      <c r="I396" s="26">
        <v>30</v>
      </c>
    </row>
    <row r="397" spans="2:9" hidden="1" outlineLevel="1" x14ac:dyDescent="0.25">
      <c r="B397" s="15"/>
      <c r="C397" s="15" t="s">
        <v>73</v>
      </c>
      <c r="E397" s="4">
        <v>50</v>
      </c>
      <c r="G397" s="6">
        <v>30</v>
      </c>
      <c r="H397" s="26"/>
      <c r="I397" s="26">
        <v>30</v>
      </c>
    </row>
    <row r="398" spans="2:9" hidden="1" outlineLevel="1" x14ac:dyDescent="0.25">
      <c r="B398" s="15"/>
      <c r="C398" s="15" t="s">
        <v>203</v>
      </c>
      <c r="E398" s="4">
        <v>15</v>
      </c>
      <c r="G398" s="6">
        <v>15</v>
      </c>
      <c r="H398" s="26"/>
      <c r="I398" s="26">
        <v>15</v>
      </c>
    </row>
    <row r="399" spans="2:9" hidden="1" outlineLevel="1" x14ac:dyDescent="0.25">
      <c r="B399" s="15"/>
      <c r="C399" s="15" t="s">
        <v>81</v>
      </c>
      <c r="E399" s="4">
        <v>50</v>
      </c>
      <c r="G399" s="6">
        <v>30</v>
      </c>
      <c r="H399" s="26"/>
      <c r="I399" s="26">
        <v>30</v>
      </c>
    </row>
    <row r="400" spans="2:9" hidden="1" outlineLevel="1" x14ac:dyDescent="0.25">
      <c r="B400" s="15"/>
      <c r="C400" s="15" t="s">
        <v>78</v>
      </c>
      <c r="E400" s="4">
        <v>50</v>
      </c>
      <c r="G400" s="6">
        <v>30</v>
      </c>
      <c r="H400" s="26"/>
      <c r="I400" s="26">
        <v>30</v>
      </c>
    </row>
    <row r="401" spans="2:9" hidden="1" outlineLevel="1" x14ac:dyDescent="0.25">
      <c r="B401" s="15"/>
      <c r="C401" s="15" t="s">
        <v>79</v>
      </c>
      <c r="E401" s="4">
        <v>100</v>
      </c>
      <c r="G401" s="6">
        <v>50</v>
      </c>
      <c r="H401" s="26"/>
      <c r="I401" s="26">
        <v>50</v>
      </c>
    </row>
    <row r="402" spans="2:9" hidden="1" outlineLevel="1" x14ac:dyDescent="0.25">
      <c r="B402" s="15"/>
      <c r="C402" s="15" t="s">
        <v>99</v>
      </c>
      <c r="E402" s="4">
        <v>40</v>
      </c>
      <c r="G402" s="6">
        <v>30</v>
      </c>
      <c r="H402" s="26"/>
      <c r="I402" s="26">
        <v>30</v>
      </c>
    </row>
    <row r="403" spans="2:9" hidden="1" outlineLevel="1" x14ac:dyDescent="0.25">
      <c r="B403" s="15"/>
      <c r="C403" s="15" t="s">
        <v>182</v>
      </c>
      <c r="E403" s="4">
        <v>30</v>
      </c>
      <c r="G403" s="6">
        <v>20</v>
      </c>
      <c r="H403" s="26"/>
      <c r="I403" s="26">
        <v>20</v>
      </c>
    </row>
    <row r="404" spans="2:9" hidden="1" outlineLevel="1" x14ac:dyDescent="0.25">
      <c r="B404" s="15"/>
      <c r="C404" s="15" t="s">
        <v>90</v>
      </c>
      <c r="E404" s="4">
        <v>20</v>
      </c>
      <c r="G404" s="6">
        <v>10</v>
      </c>
      <c r="H404" s="26"/>
      <c r="I404" s="26">
        <v>10</v>
      </c>
    </row>
    <row r="405" spans="2:9" hidden="1" outlineLevel="1" x14ac:dyDescent="0.25">
      <c r="B405" s="15"/>
      <c r="C405" s="15" t="s">
        <v>91</v>
      </c>
      <c r="E405" s="4">
        <v>15</v>
      </c>
      <c r="G405" s="6">
        <v>15</v>
      </c>
      <c r="H405" s="26"/>
      <c r="I405" s="26">
        <v>0</v>
      </c>
    </row>
    <row r="406" spans="2:9" hidden="1" outlineLevel="1" x14ac:dyDescent="0.25">
      <c r="B406" s="15"/>
      <c r="C406" s="15" t="s">
        <v>149</v>
      </c>
      <c r="E406" s="4">
        <v>30</v>
      </c>
      <c r="G406" s="6">
        <v>20</v>
      </c>
      <c r="H406" s="26"/>
      <c r="I406" s="26">
        <v>20</v>
      </c>
    </row>
    <row r="407" spans="2:9" hidden="1" outlineLevel="1" x14ac:dyDescent="0.25">
      <c r="B407" s="15"/>
      <c r="C407" s="15" t="s">
        <v>181</v>
      </c>
      <c r="E407" s="4">
        <v>25</v>
      </c>
      <c r="G407" s="6">
        <v>25</v>
      </c>
      <c r="H407" s="26"/>
      <c r="I407" s="26">
        <v>25</v>
      </c>
    </row>
    <row r="408" spans="2:9" hidden="1" outlineLevel="1" x14ac:dyDescent="0.25">
      <c r="B408" s="15"/>
      <c r="C408" s="15" t="s">
        <v>198</v>
      </c>
      <c r="E408" s="4">
        <v>50</v>
      </c>
      <c r="G408" s="6">
        <v>30</v>
      </c>
      <c r="H408" s="26"/>
      <c r="I408" s="26">
        <v>30</v>
      </c>
    </row>
    <row r="409" spans="2:9" hidden="1" outlineLevel="1" x14ac:dyDescent="0.25">
      <c r="B409" s="15"/>
      <c r="C409" s="15" t="s">
        <v>197</v>
      </c>
      <c r="E409" s="4">
        <v>30</v>
      </c>
      <c r="G409" s="6">
        <v>20</v>
      </c>
      <c r="H409" s="26"/>
      <c r="I409" s="26">
        <v>20</v>
      </c>
    </row>
    <row r="410" spans="2:9" collapsed="1" x14ac:dyDescent="0.25">
      <c r="B410" s="30"/>
      <c r="C410" s="30"/>
      <c r="D410" s="41"/>
      <c r="E410" s="31">
        <f>(1+$D$448+$D$449)*SUM(E395:E409)</f>
        <v>638.25</v>
      </c>
      <c r="F410" s="50"/>
      <c r="G410" s="32">
        <f>(1+$D$448+$D$449)*SUM(G395:G409)</f>
        <v>405.15000000000003</v>
      </c>
      <c r="H410" s="53"/>
      <c r="I410" s="33">
        <f>(1+$D$448+$D$449)*SUM(I395:I409)</f>
        <v>388.50000000000006</v>
      </c>
    </row>
    <row r="411" spans="2:9" x14ac:dyDescent="0.25">
      <c r="D411" s="38"/>
      <c r="E411"/>
      <c r="F411" s="38"/>
      <c r="G411"/>
      <c r="H411" s="38"/>
      <c r="I411"/>
    </row>
    <row r="412" spans="2:9" x14ac:dyDescent="0.25">
      <c r="B412" s="20" t="s">
        <v>282</v>
      </c>
      <c r="C412" s="22"/>
      <c r="D412" s="21"/>
      <c r="E412" s="21"/>
      <c r="F412" s="21"/>
      <c r="G412" s="21"/>
      <c r="H412" s="21"/>
      <c r="I412" s="21"/>
    </row>
    <row r="413" spans="2:9" x14ac:dyDescent="0.25">
      <c r="D413" s="38"/>
      <c r="E413"/>
      <c r="F413" s="38"/>
      <c r="G413"/>
      <c r="H413" s="38"/>
      <c r="I413"/>
    </row>
    <row r="414" spans="2:9" x14ac:dyDescent="0.25">
      <c r="B414" s="16" t="s">
        <v>684</v>
      </c>
      <c r="C414" s="15"/>
      <c r="H414" s="26"/>
      <c r="I414" s="26"/>
    </row>
    <row r="415" spans="2:9" outlineLevel="1" x14ac:dyDescent="0.25">
      <c r="B415" s="15"/>
      <c r="C415" s="15" t="s">
        <v>26</v>
      </c>
      <c r="E415" s="4">
        <v>2000</v>
      </c>
      <c r="G415" s="6">
        <v>1800</v>
      </c>
      <c r="H415" s="26"/>
      <c r="I415" s="26">
        <v>1500</v>
      </c>
    </row>
    <row r="416" spans="2:9" outlineLevel="1" x14ac:dyDescent="0.25">
      <c r="B416" s="15"/>
      <c r="C416" s="15" t="s">
        <v>27</v>
      </c>
      <c r="E416" s="4">
        <v>800</v>
      </c>
      <c r="G416" s="6">
        <v>700</v>
      </c>
      <c r="H416" s="26"/>
      <c r="I416" s="26">
        <v>600</v>
      </c>
    </row>
    <row r="417" spans="2:9" outlineLevel="1" x14ac:dyDescent="0.25">
      <c r="B417" s="15"/>
      <c r="C417" s="15" t="s">
        <v>28</v>
      </c>
      <c r="E417" s="4">
        <v>300</v>
      </c>
      <c r="G417" s="6">
        <v>200</v>
      </c>
      <c r="H417" s="26"/>
      <c r="I417" s="26">
        <v>200</v>
      </c>
    </row>
    <row r="418" spans="2:9" x14ac:dyDescent="0.25">
      <c r="B418" s="30"/>
      <c r="C418" s="30"/>
      <c r="D418" s="41"/>
      <c r="E418" s="31">
        <f>(1+$D$448+$D$449)*SUM(E415:E417)</f>
        <v>3441.0000000000005</v>
      </c>
      <c r="F418" s="50"/>
      <c r="G418" s="32">
        <f>(1+$D$448+$D$449)*SUM(G415:G417)</f>
        <v>2997.0000000000005</v>
      </c>
      <c r="H418" s="53"/>
      <c r="I418" s="33">
        <f>(1+$D$448+$D$449)*SUM(I415:I417)</f>
        <v>2553</v>
      </c>
    </row>
    <row r="419" spans="2:9" x14ac:dyDescent="0.25">
      <c r="D419" s="38"/>
      <c r="E419"/>
      <c r="F419" s="38"/>
      <c r="G419"/>
      <c r="H419" s="38"/>
      <c r="I419"/>
    </row>
    <row r="420" spans="2:9" x14ac:dyDescent="0.25">
      <c r="B420" s="16" t="s">
        <v>9</v>
      </c>
      <c r="C420" s="15"/>
      <c r="H420" s="26"/>
      <c r="I420" s="26"/>
    </row>
    <row r="421" spans="2:9" outlineLevel="1" x14ac:dyDescent="0.25">
      <c r="B421" s="15"/>
      <c r="C421" s="15" t="s">
        <v>26</v>
      </c>
      <c r="E421" s="4">
        <v>800</v>
      </c>
      <c r="G421" s="6">
        <v>600</v>
      </c>
      <c r="H421" s="26"/>
      <c r="I421" s="26">
        <v>400</v>
      </c>
    </row>
    <row r="422" spans="2:9" outlineLevel="1" x14ac:dyDescent="0.25">
      <c r="B422" s="15"/>
      <c r="C422" s="15" t="s">
        <v>685</v>
      </c>
      <c r="E422" s="4">
        <v>300</v>
      </c>
      <c r="G422" s="6">
        <v>200</v>
      </c>
      <c r="H422" s="26"/>
      <c r="I422" s="26">
        <v>100</v>
      </c>
    </row>
    <row r="423" spans="2:9" outlineLevel="1" x14ac:dyDescent="0.25">
      <c r="B423" s="15"/>
      <c r="C423" s="15" t="s">
        <v>28</v>
      </c>
      <c r="E423" s="4">
        <v>150</v>
      </c>
      <c r="G423" s="6">
        <v>100</v>
      </c>
      <c r="H423" s="26"/>
      <c r="I423" s="26">
        <v>50</v>
      </c>
    </row>
    <row r="424" spans="2:9" x14ac:dyDescent="0.25">
      <c r="B424" s="30"/>
      <c r="C424" s="30"/>
      <c r="D424" s="41"/>
      <c r="E424" s="31">
        <f>(1+$D$448+$D$449)*SUM(E421:E423)</f>
        <v>1387.5000000000002</v>
      </c>
      <c r="F424" s="50"/>
      <c r="G424" s="32">
        <f>(1+$D$448+$D$449)*SUM(G421:G423)</f>
        <v>999.00000000000011</v>
      </c>
      <c r="H424" s="53"/>
      <c r="I424" s="33">
        <f>(1+$D$448+$D$449)*SUM(I421:I423)</f>
        <v>610.5</v>
      </c>
    </row>
    <row r="425" spans="2:9" x14ac:dyDescent="0.25">
      <c r="D425" s="38"/>
      <c r="E425"/>
      <c r="F425" s="38"/>
      <c r="G425"/>
      <c r="H425" s="38"/>
      <c r="I425"/>
    </row>
    <row r="426" spans="2:9" x14ac:dyDescent="0.25">
      <c r="B426" s="16" t="s">
        <v>235</v>
      </c>
      <c r="C426" s="15"/>
      <c r="H426" s="26"/>
      <c r="I426" s="26"/>
    </row>
    <row r="427" spans="2:9" hidden="1" outlineLevel="1" x14ac:dyDescent="0.25">
      <c r="B427" s="15"/>
      <c r="C427" s="15" t="s">
        <v>60</v>
      </c>
      <c r="E427" s="4">
        <v>140</v>
      </c>
      <c r="G427" s="6">
        <v>100</v>
      </c>
      <c r="H427" s="26"/>
      <c r="I427" s="26">
        <v>100</v>
      </c>
    </row>
    <row r="428" spans="2:9" hidden="1" outlineLevel="1" x14ac:dyDescent="0.25">
      <c r="B428" s="15"/>
      <c r="C428" s="15" t="s">
        <v>46</v>
      </c>
      <c r="E428" s="4">
        <v>100</v>
      </c>
      <c r="G428" s="6">
        <v>70</v>
      </c>
      <c r="H428" s="26"/>
      <c r="I428" s="26">
        <v>70</v>
      </c>
    </row>
    <row r="429" spans="2:9" hidden="1" outlineLevel="1" x14ac:dyDescent="0.25">
      <c r="B429" s="15"/>
      <c r="C429" s="15" t="s">
        <v>44</v>
      </c>
      <c r="E429" s="4">
        <v>200</v>
      </c>
      <c r="G429" s="6">
        <v>150</v>
      </c>
      <c r="H429" s="26"/>
      <c r="I429" s="26">
        <v>150</v>
      </c>
    </row>
    <row r="430" spans="2:9" hidden="1" outlineLevel="1" x14ac:dyDescent="0.25">
      <c r="B430" s="15"/>
      <c r="C430" s="15" t="s">
        <v>236</v>
      </c>
      <c r="E430" s="4">
        <v>200</v>
      </c>
      <c r="G430" s="6">
        <v>150</v>
      </c>
      <c r="H430" s="26"/>
      <c r="I430" s="26">
        <v>150</v>
      </c>
    </row>
    <row r="431" spans="2:9" collapsed="1" x14ac:dyDescent="0.25">
      <c r="B431" s="30"/>
      <c r="C431" s="30"/>
      <c r="D431" s="41"/>
      <c r="E431" s="31">
        <f>(1+$D$448+$D$449)*SUM(E427:E430)</f>
        <v>710.40000000000009</v>
      </c>
      <c r="F431" s="50"/>
      <c r="G431" s="32">
        <f>(1+$D$448+$D$449)*SUM(G427:G430)</f>
        <v>521.70000000000005</v>
      </c>
      <c r="H431" s="53"/>
      <c r="I431" s="33">
        <f>(1+$D$448+$D$449)*SUM(I427:I430)</f>
        <v>521.70000000000005</v>
      </c>
    </row>
    <row r="432" spans="2:9" x14ac:dyDescent="0.25">
      <c r="D432" s="38"/>
      <c r="E432"/>
      <c r="F432" s="38"/>
      <c r="G432"/>
      <c r="H432" s="38"/>
      <c r="I432"/>
    </row>
    <row r="433" spans="2:9" x14ac:dyDescent="0.25">
      <c r="B433" s="16" t="s">
        <v>102</v>
      </c>
      <c r="C433" s="15"/>
      <c r="H433" s="26"/>
      <c r="I433" s="26"/>
    </row>
    <row r="434" spans="2:9" hidden="1" outlineLevel="1" x14ac:dyDescent="0.25">
      <c r="B434" s="16"/>
      <c r="C434" s="15" t="s">
        <v>243</v>
      </c>
      <c r="D434" s="39" t="s">
        <v>232</v>
      </c>
      <c r="E434" s="4">
        <v>350</v>
      </c>
      <c r="F434" s="48" t="s">
        <v>233</v>
      </c>
      <c r="G434" s="6">
        <v>200</v>
      </c>
      <c r="H434" s="26" t="s">
        <v>233</v>
      </c>
      <c r="I434" s="26">
        <v>200</v>
      </c>
    </row>
    <row r="435" spans="2:9" hidden="1" outlineLevel="1" x14ac:dyDescent="0.25">
      <c r="B435" s="15"/>
      <c r="C435" s="15" t="s">
        <v>215</v>
      </c>
      <c r="E435" s="4">
        <v>50</v>
      </c>
      <c r="G435" s="6">
        <v>50</v>
      </c>
      <c r="H435" s="26"/>
      <c r="I435" s="26">
        <v>50</v>
      </c>
    </row>
    <row r="436" spans="2:9" collapsed="1" x14ac:dyDescent="0.25">
      <c r="B436" s="30"/>
      <c r="C436" s="30"/>
      <c r="D436" s="41"/>
      <c r="E436" s="31">
        <f>(1+$D$448+$D$449)*SUM(E433:E435)</f>
        <v>444.00000000000006</v>
      </c>
      <c r="F436" s="50"/>
      <c r="G436" s="32">
        <f>(1+$D$448+$D$449)*SUM(G433:G435)</f>
        <v>277.5</v>
      </c>
      <c r="H436" s="53"/>
      <c r="I436" s="33">
        <f>(1+$D$448+$D$449)*SUM(I433:I435)</f>
        <v>277.5</v>
      </c>
    </row>
    <row r="437" spans="2:9" x14ac:dyDescent="0.25">
      <c r="B437"/>
      <c r="D437" s="38"/>
      <c r="E437"/>
      <c r="F437" s="38"/>
      <c r="G437"/>
      <c r="H437" s="38"/>
      <c r="I437"/>
    </row>
    <row r="438" spans="2:9" x14ac:dyDescent="0.25">
      <c r="B438" s="20" t="s">
        <v>626</v>
      </c>
      <c r="C438" s="22"/>
      <c r="D438" s="21"/>
      <c r="E438" s="21"/>
      <c r="F438" s="21"/>
      <c r="G438" s="21"/>
      <c r="H438" s="21"/>
      <c r="I438" s="21"/>
    </row>
    <row r="439" spans="2:9" x14ac:dyDescent="0.25">
      <c r="D439" s="38"/>
      <c r="E439"/>
      <c r="F439" s="38"/>
      <c r="G439"/>
      <c r="H439" s="38"/>
      <c r="I439"/>
    </row>
    <row r="440" spans="2:9" x14ac:dyDescent="0.25">
      <c r="B440" s="16" t="s">
        <v>635</v>
      </c>
      <c r="C440" s="15"/>
      <c r="H440" s="26"/>
      <c r="I440" s="26"/>
    </row>
    <row r="441" spans="2:9" outlineLevel="1" x14ac:dyDescent="0.25">
      <c r="B441" s="16"/>
      <c r="C441" s="15" t="s">
        <v>101</v>
      </c>
      <c r="E441" s="4">
        <v>300</v>
      </c>
      <c r="G441" s="6">
        <v>200</v>
      </c>
      <c r="H441" s="26"/>
      <c r="I441" s="26">
        <v>100</v>
      </c>
    </row>
    <row r="442" spans="2:9" outlineLevel="1" x14ac:dyDescent="0.25">
      <c r="B442" s="15"/>
      <c r="C442" s="15" t="s">
        <v>630</v>
      </c>
      <c r="D442" s="39" t="s">
        <v>349</v>
      </c>
      <c r="E442" s="4">
        <v>1600</v>
      </c>
      <c r="F442" s="48" t="s">
        <v>349</v>
      </c>
      <c r="G442" s="6">
        <v>1200</v>
      </c>
      <c r="H442" s="26" t="s">
        <v>348</v>
      </c>
      <c r="I442" s="26">
        <v>500</v>
      </c>
    </row>
    <row r="443" spans="2:9" outlineLevel="1" x14ac:dyDescent="0.25">
      <c r="B443" s="15"/>
      <c r="C443" s="15" t="s">
        <v>632</v>
      </c>
      <c r="D443" s="39" t="s">
        <v>633</v>
      </c>
      <c r="E443" s="4">
        <v>200</v>
      </c>
      <c r="F443" s="48" t="s">
        <v>633</v>
      </c>
      <c r="G443" s="6">
        <v>150</v>
      </c>
      <c r="H443" s="26" t="s">
        <v>634</v>
      </c>
      <c r="I443" s="26">
        <v>50</v>
      </c>
    </row>
    <row r="444" spans="2:9" outlineLevel="1" x14ac:dyDescent="0.25">
      <c r="B444" s="15"/>
      <c r="C444" s="15" t="s">
        <v>631</v>
      </c>
      <c r="D444" s="39" t="s">
        <v>627</v>
      </c>
      <c r="E444" s="4">
        <v>500</v>
      </c>
      <c r="F444" s="48" t="s">
        <v>629</v>
      </c>
      <c r="G444" s="6">
        <v>450</v>
      </c>
      <c r="H444" s="26" t="s">
        <v>628</v>
      </c>
      <c r="I444" s="26">
        <v>300</v>
      </c>
    </row>
    <row r="445" spans="2:9" x14ac:dyDescent="0.25">
      <c r="B445" s="30"/>
      <c r="C445" s="30"/>
      <c r="D445" s="41"/>
      <c r="E445" s="31">
        <f>(1+$D$448+$D$449)*SUM(E440:E444)</f>
        <v>2886.0000000000005</v>
      </c>
      <c r="F445" s="50"/>
      <c r="G445" s="32">
        <f>(1+$D$448+$D$449)*SUM(G440:G444)</f>
        <v>2220</v>
      </c>
      <c r="H445" s="53"/>
      <c r="I445" s="33">
        <f>(1+$D$448+$D$449)*SUM(I440:I444)</f>
        <v>1054.5</v>
      </c>
    </row>
    <row r="446" spans="2:9" ht="15.75" thickBot="1" x14ac:dyDescent="0.3">
      <c r="B446" s="23"/>
      <c r="C446" s="23"/>
      <c r="D446" s="38"/>
      <c r="E446"/>
      <c r="F446" s="38"/>
      <c r="G446"/>
      <c r="H446" s="38"/>
      <c r="I446"/>
    </row>
    <row r="447" spans="2:9" x14ac:dyDescent="0.25">
      <c r="B447" s="25"/>
      <c r="C447" s="25"/>
      <c r="D447" s="44"/>
      <c r="E447" s="10"/>
      <c r="F447" s="44"/>
      <c r="G447" s="10"/>
      <c r="H447" s="44"/>
      <c r="I447" s="10"/>
    </row>
    <row r="448" spans="2:9" x14ac:dyDescent="0.25">
      <c r="B448" s="13" t="s">
        <v>30</v>
      </c>
      <c r="D448" s="45">
        <v>0.06</v>
      </c>
      <c r="E448"/>
      <c r="F448" s="38"/>
      <c r="G448"/>
      <c r="H448" s="38"/>
      <c r="I448"/>
    </row>
    <row r="449" spans="2:9" x14ac:dyDescent="0.25">
      <c r="B449" s="13" t="s">
        <v>31</v>
      </c>
      <c r="D449" s="45">
        <v>0.05</v>
      </c>
      <c r="E449"/>
      <c r="F449" s="38"/>
      <c r="G449"/>
      <c r="H449" s="38"/>
      <c r="I449"/>
    </row>
    <row r="450" spans="2:9" ht="15.75" thickBot="1" x14ac:dyDescent="0.3">
      <c r="B450" s="11"/>
      <c r="C450" s="11"/>
      <c r="D450" s="46"/>
      <c r="E450" s="11"/>
      <c r="F450" s="46"/>
      <c r="G450" s="11"/>
      <c r="H450" s="46"/>
      <c r="I450" s="11"/>
    </row>
    <row r="451" spans="2:9" x14ac:dyDescent="0.25">
      <c r="B451" s="24"/>
      <c r="C451" s="24"/>
      <c r="D451" s="38"/>
      <c r="E451"/>
      <c r="F451" s="38"/>
      <c r="G451"/>
      <c r="H451" s="38"/>
      <c r="I451"/>
    </row>
    <row r="452" spans="2:9" x14ac:dyDescent="0.25">
      <c r="D452" s="38"/>
      <c r="E452"/>
      <c r="F452" s="38"/>
      <c r="G452"/>
      <c r="H452" s="38"/>
      <c r="I452"/>
    </row>
    <row r="453" spans="2:9" x14ac:dyDescent="0.25">
      <c r="D453" s="38"/>
      <c r="E453"/>
      <c r="F453" s="38"/>
      <c r="G453"/>
      <c r="H453" s="38"/>
      <c r="I453"/>
    </row>
    <row r="454" spans="2:9" x14ac:dyDescent="0.25">
      <c r="D454" s="38"/>
      <c r="E454"/>
      <c r="F454" s="38"/>
      <c r="G454"/>
      <c r="H454" s="38"/>
      <c r="I454"/>
    </row>
    <row r="455" spans="2:9" x14ac:dyDescent="0.25">
      <c r="D455" s="38"/>
      <c r="E455"/>
      <c r="F455" s="38"/>
      <c r="G455"/>
      <c r="H455" s="38"/>
      <c r="I455"/>
    </row>
    <row r="456" spans="2:9" x14ac:dyDescent="0.25">
      <c r="D456" s="38"/>
      <c r="E456"/>
      <c r="F456" s="38"/>
      <c r="G456"/>
      <c r="H456" s="38"/>
      <c r="I456"/>
    </row>
    <row r="457" spans="2:9" x14ac:dyDescent="0.25">
      <c r="D457" s="38"/>
      <c r="E457"/>
      <c r="F457" s="38"/>
      <c r="G457"/>
      <c r="H457" s="38"/>
      <c r="I457"/>
    </row>
    <row r="458" spans="2:9" x14ac:dyDescent="0.25">
      <c r="D458" s="38"/>
      <c r="E458"/>
      <c r="F458" s="38"/>
      <c r="G458"/>
      <c r="H458" s="38"/>
      <c r="I458"/>
    </row>
    <row r="459" spans="2:9" x14ac:dyDescent="0.25">
      <c r="D459" s="38"/>
      <c r="E459"/>
      <c r="F459" s="38"/>
      <c r="G459"/>
      <c r="H459" s="38"/>
      <c r="I459"/>
    </row>
    <row r="460" spans="2:9" x14ac:dyDescent="0.25">
      <c r="D460" s="38"/>
      <c r="E460"/>
      <c r="F460" s="38"/>
      <c r="G460"/>
      <c r="H460" s="38"/>
      <c r="I460"/>
    </row>
    <row r="461" spans="2:9" x14ac:dyDescent="0.25">
      <c r="D461" s="38"/>
      <c r="E461"/>
      <c r="F461" s="38"/>
      <c r="G461"/>
      <c r="H461" s="38"/>
      <c r="I461"/>
    </row>
    <row r="462" spans="2:9" x14ac:dyDescent="0.25">
      <c r="D462" s="38"/>
      <c r="E462"/>
      <c r="F462" s="38"/>
      <c r="G462"/>
      <c r="H462" s="38"/>
      <c r="I462"/>
    </row>
    <row r="463" spans="2:9" x14ac:dyDescent="0.25">
      <c r="D463" s="38"/>
      <c r="E463"/>
      <c r="F463" s="38"/>
      <c r="G463"/>
      <c r="H463" s="38"/>
      <c r="I463"/>
    </row>
    <row r="464" spans="2:9" x14ac:dyDescent="0.25">
      <c r="D464" s="38"/>
      <c r="E464"/>
      <c r="F464" s="38"/>
      <c r="G464"/>
      <c r="H464" s="38"/>
      <c r="I464"/>
    </row>
    <row r="465" spans="4:9" x14ac:dyDescent="0.25">
      <c r="D465" s="38"/>
      <c r="E465"/>
      <c r="F465" s="38"/>
      <c r="G465"/>
      <c r="H465" s="38"/>
      <c r="I465"/>
    </row>
    <row r="466" spans="4:9" x14ac:dyDescent="0.25">
      <c r="D466" s="38"/>
      <c r="E466"/>
      <c r="F466" s="38"/>
      <c r="G466"/>
      <c r="H466" s="38"/>
      <c r="I466"/>
    </row>
    <row r="467" spans="4:9" x14ac:dyDescent="0.25">
      <c r="D467" s="38"/>
      <c r="E467"/>
      <c r="F467" s="38"/>
      <c r="G467"/>
      <c r="H467" s="38"/>
      <c r="I467"/>
    </row>
    <row r="468" spans="4:9" x14ac:dyDescent="0.25">
      <c r="D468" s="38"/>
      <c r="E468"/>
      <c r="F468" s="38"/>
      <c r="G468"/>
      <c r="H468" s="38"/>
      <c r="I468"/>
    </row>
    <row r="469" spans="4:9" x14ac:dyDescent="0.25">
      <c r="D469" s="38"/>
      <c r="E469"/>
      <c r="F469" s="38"/>
      <c r="G469"/>
      <c r="H469" s="38"/>
      <c r="I469"/>
    </row>
    <row r="470" spans="4:9" x14ac:dyDescent="0.25">
      <c r="D470" s="38"/>
      <c r="E470"/>
      <c r="F470" s="38"/>
      <c r="G470"/>
      <c r="H470" s="38"/>
      <c r="I470"/>
    </row>
    <row r="471" spans="4:9" x14ac:dyDescent="0.25">
      <c r="D471" s="38"/>
      <c r="E471"/>
      <c r="F471" s="38"/>
      <c r="G471"/>
      <c r="H471" s="38"/>
      <c r="I471"/>
    </row>
    <row r="472" spans="4:9" x14ac:dyDescent="0.25">
      <c r="D472" s="38"/>
      <c r="E472"/>
      <c r="F472" s="38"/>
      <c r="G472"/>
      <c r="H472" s="38"/>
      <c r="I472"/>
    </row>
    <row r="473" spans="4:9" x14ac:dyDescent="0.25">
      <c r="D473" s="38"/>
      <c r="E473"/>
      <c r="F473" s="38"/>
      <c r="G473"/>
      <c r="H473" s="38"/>
      <c r="I473"/>
    </row>
    <row r="474" spans="4:9" x14ac:dyDescent="0.25">
      <c r="D474" s="38"/>
      <c r="E474"/>
      <c r="F474" s="38"/>
      <c r="G474"/>
      <c r="H474" s="38"/>
      <c r="I474"/>
    </row>
    <row r="475" spans="4:9" x14ac:dyDescent="0.25">
      <c r="D475" s="38"/>
      <c r="E475"/>
      <c r="F475" s="38"/>
      <c r="G475"/>
      <c r="H475" s="38"/>
      <c r="I475"/>
    </row>
    <row r="476" spans="4:9" x14ac:dyDescent="0.25">
      <c r="D476" s="38"/>
      <c r="E476"/>
      <c r="F476" s="38"/>
      <c r="G476"/>
      <c r="H476" s="38"/>
      <c r="I476"/>
    </row>
    <row r="477" spans="4:9" x14ac:dyDescent="0.25">
      <c r="D477" s="38"/>
      <c r="E477"/>
      <c r="F477" s="38"/>
      <c r="G477"/>
      <c r="H477" s="38"/>
      <c r="I477"/>
    </row>
    <row r="478" spans="4:9" x14ac:dyDescent="0.25">
      <c r="D478" s="38"/>
      <c r="E478"/>
      <c r="F478" s="38"/>
      <c r="G478"/>
      <c r="H478" s="38"/>
      <c r="I478"/>
    </row>
    <row r="479" spans="4:9" x14ac:dyDescent="0.25">
      <c r="D479" s="38"/>
      <c r="E479"/>
      <c r="F479" s="38"/>
      <c r="G479"/>
      <c r="H479" s="38"/>
      <c r="I479"/>
    </row>
    <row r="480" spans="4:9" x14ac:dyDescent="0.25">
      <c r="D480" s="38"/>
      <c r="E480"/>
      <c r="F480" s="38"/>
      <c r="G480"/>
      <c r="H480" s="38"/>
      <c r="I480"/>
    </row>
    <row r="481" spans="4:9" x14ac:dyDescent="0.25">
      <c r="D481" s="38"/>
      <c r="E481"/>
      <c r="F481" s="38"/>
      <c r="G481"/>
      <c r="H481" s="38"/>
      <c r="I481"/>
    </row>
    <row r="482" spans="4:9" x14ac:dyDescent="0.25">
      <c r="D482" s="38"/>
      <c r="E482"/>
      <c r="F482" s="38"/>
      <c r="G482"/>
      <c r="H482" s="38"/>
      <c r="I482"/>
    </row>
    <row r="483" spans="4:9" x14ac:dyDescent="0.25">
      <c r="D483" s="38"/>
      <c r="E483"/>
      <c r="F483" s="38"/>
      <c r="G483"/>
      <c r="H483" s="38"/>
      <c r="I483"/>
    </row>
    <row r="484" spans="4:9" x14ac:dyDescent="0.25">
      <c r="D484" s="38"/>
      <c r="E484"/>
      <c r="F484" s="38"/>
      <c r="G484"/>
      <c r="H484" s="38"/>
      <c r="I484"/>
    </row>
    <row r="485" spans="4:9" x14ac:dyDescent="0.25">
      <c r="D485" s="38"/>
      <c r="E485"/>
      <c r="F485" s="38"/>
      <c r="G485"/>
      <c r="H485" s="38"/>
      <c r="I485"/>
    </row>
    <row r="486" spans="4:9" x14ac:dyDescent="0.25">
      <c r="D486" s="38"/>
      <c r="E486"/>
      <c r="F486" s="38"/>
      <c r="G486"/>
      <c r="H486" s="38"/>
      <c r="I486"/>
    </row>
    <row r="487" spans="4:9" x14ac:dyDescent="0.25">
      <c r="D487" s="38"/>
      <c r="E487"/>
      <c r="F487" s="38"/>
      <c r="G487"/>
      <c r="H487" s="38"/>
      <c r="I487"/>
    </row>
    <row r="488" spans="4:9" x14ac:dyDescent="0.25">
      <c r="D488" s="38"/>
      <c r="E488"/>
      <c r="F488" s="38"/>
      <c r="G488"/>
      <c r="H488" s="38"/>
      <c r="I488"/>
    </row>
    <row r="489" spans="4:9" x14ac:dyDescent="0.25">
      <c r="D489" s="38"/>
      <c r="E489"/>
      <c r="F489" s="38"/>
      <c r="G489"/>
      <c r="H489" s="38"/>
      <c r="I489"/>
    </row>
    <row r="490" spans="4:9" x14ac:dyDescent="0.25">
      <c r="D490" s="38"/>
      <c r="E490"/>
      <c r="F490" s="38"/>
      <c r="G490"/>
      <c r="H490" s="38"/>
      <c r="I490"/>
    </row>
    <row r="491" spans="4:9" x14ac:dyDescent="0.25">
      <c r="D491" s="38"/>
      <c r="E491"/>
      <c r="F491" s="38"/>
      <c r="G491"/>
      <c r="H491" s="38"/>
      <c r="I491"/>
    </row>
    <row r="492" spans="4:9" x14ac:dyDescent="0.25">
      <c r="D492" s="38"/>
      <c r="E492"/>
      <c r="F492" s="38"/>
      <c r="G492"/>
      <c r="H492" s="38"/>
      <c r="I492"/>
    </row>
    <row r="493" spans="4:9" x14ac:dyDescent="0.25">
      <c r="D493" s="38"/>
      <c r="E493"/>
      <c r="F493" s="38"/>
      <c r="G493"/>
      <c r="H493" s="38"/>
      <c r="I493"/>
    </row>
    <row r="494" spans="4:9" x14ac:dyDescent="0.25">
      <c r="D494" s="38"/>
      <c r="E494"/>
      <c r="F494" s="38"/>
      <c r="G494"/>
      <c r="H494" s="38"/>
      <c r="I494"/>
    </row>
    <row r="495" spans="4:9" x14ac:dyDescent="0.25">
      <c r="D495" s="38"/>
      <c r="E495"/>
      <c r="F495" s="38"/>
      <c r="G495"/>
      <c r="H495" s="38"/>
      <c r="I495"/>
    </row>
    <row r="496" spans="4:9" x14ac:dyDescent="0.25">
      <c r="D496" s="38"/>
      <c r="E496"/>
      <c r="F496" s="38"/>
      <c r="G496"/>
      <c r="H496" s="38"/>
      <c r="I496"/>
    </row>
    <row r="497" spans="4:9" x14ac:dyDescent="0.25">
      <c r="D497" s="38"/>
      <c r="E497"/>
      <c r="F497" s="38"/>
      <c r="G497"/>
      <c r="H497" s="38"/>
      <c r="I497"/>
    </row>
    <row r="498" spans="4:9" x14ac:dyDescent="0.25">
      <c r="D498" s="38"/>
      <c r="E498"/>
      <c r="F498" s="38"/>
      <c r="G498"/>
      <c r="H498" s="38"/>
      <c r="I498"/>
    </row>
    <row r="499" spans="4:9" x14ac:dyDescent="0.25">
      <c r="D499" s="38"/>
      <c r="E499"/>
      <c r="F499" s="38"/>
      <c r="G499"/>
      <c r="H499" s="38"/>
      <c r="I499"/>
    </row>
    <row r="500" spans="4:9" x14ac:dyDescent="0.25">
      <c r="D500" s="38"/>
      <c r="E500"/>
      <c r="F500" s="38"/>
      <c r="G500"/>
      <c r="H500" s="38"/>
      <c r="I500"/>
    </row>
    <row r="501" spans="4:9" x14ac:dyDescent="0.25">
      <c r="D501" s="38"/>
      <c r="E501"/>
      <c r="F501" s="38"/>
      <c r="G501"/>
      <c r="H501" s="38"/>
      <c r="I501"/>
    </row>
    <row r="502" spans="4:9" x14ac:dyDescent="0.25">
      <c r="D502" s="38"/>
      <c r="E502"/>
      <c r="F502" s="38"/>
      <c r="G502"/>
      <c r="H502" s="38"/>
      <c r="I502"/>
    </row>
    <row r="503" spans="4:9" x14ac:dyDescent="0.25">
      <c r="D503" s="38"/>
      <c r="E503"/>
      <c r="F503" s="38"/>
      <c r="G503"/>
      <c r="H503" s="38"/>
      <c r="I503"/>
    </row>
    <row r="504" spans="4:9" x14ac:dyDescent="0.25">
      <c r="D504" s="38"/>
      <c r="E504"/>
      <c r="F504" s="38"/>
      <c r="G504"/>
      <c r="H504" s="38"/>
      <c r="I504"/>
    </row>
    <row r="505" spans="4:9" x14ac:dyDescent="0.25">
      <c r="D505" s="38"/>
      <c r="E505"/>
      <c r="F505" s="38"/>
      <c r="G505"/>
      <c r="H505" s="38"/>
      <c r="I505"/>
    </row>
    <row r="506" spans="4:9" x14ac:dyDescent="0.25">
      <c r="D506" s="38"/>
      <c r="E506"/>
      <c r="F506" s="38"/>
      <c r="G506"/>
      <c r="H506" s="38"/>
      <c r="I506"/>
    </row>
    <row r="507" spans="4:9" x14ac:dyDescent="0.25">
      <c r="D507" s="38"/>
      <c r="E507"/>
      <c r="F507" s="38"/>
      <c r="G507"/>
      <c r="H507" s="38"/>
      <c r="I507"/>
    </row>
    <row r="508" spans="4:9" x14ac:dyDescent="0.25">
      <c r="D508" s="38"/>
      <c r="E508"/>
      <c r="F508" s="38"/>
      <c r="G508"/>
      <c r="H508" s="38"/>
      <c r="I508"/>
    </row>
    <row r="509" spans="4:9" x14ac:dyDescent="0.25">
      <c r="D509" s="38"/>
      <c r="E509"/>
      <c r="F509" s="38"/>
      <c r="G509"/>
      <c r="H509" s="38"/>
      <c r="I509"/>
    </row>
    <row r="510" spans="4:9" x14ac:dyDescent="0.25">
      <c r="D510" s="38"/>
      <c r="E510"/>
      <c r="F510" s="38"/>
      <c r="G510"/>
      <c r="H510" s="38"/>
      <c r="I510"/>
    </row>
    <row r="511" spans="4:9" x14ac:dyDescent="0.25">
      <c r="D511" s="38"/>
      <c r="E511"/>
      <c r="F511" s="38"/>
      <c r="G511"/>
      <c r="H511" s="38"/>
      <c r="I511"/>
    </row>
    <row r="512" spans="4:9" x14ac:dyDescent="0.25">
      <c r="D512" s="38"/>
      <c r="E512"/>
      <c r="F512" s="38"/>
      <c r="G512"/>
      <c r="H512" s="38"/>
      <c r="I512"/>
    </row>
    <row r="513" spans="4:9" x14ac:dyDescent="0.25">
      <c r="D513" s="38"/>
      <c r="E513"/>
      <c r="F513" s="38"/>
      <c r="G513"/>
      <c r="H513" s="38"/>
      <c r="I513"/>
    </row>
    <row r="514" spans="4:9" x14ac:dyDescent="0.25">
      <c r="D514" s="38"/>
      <c r="E514"/>
      <c r="F514" s="38"/>
      <c r="G514"/>
      <c r="H514" s="38"/>
      <c r="I514"/>
    </row>
    <row r="515" spans="4:9" x14ac:dyDescent="0.25">
      <c r="D515" s="38"/>
      <c r="E515"/>
      <c r="F515" s="38"/>
      <c r="G515"/>
      <c r="H515" s="38"/>
      <c r="I515"/>
    </row>
    <row r="516" spans="4:9" x14ac:dyDescent="0.25">
      <c r="D516" s="38"/>
      <c r="E516"/>
      <c r="F516" s="38"/>
      <c r="G516"/>
      <c r="H516" s="38"/>
      <c r="I516"/>
    </row>
    <row r="517" spans="4:9" x14ac:dyDescent="0.25">
      <c r="D517" s="38"/>
      <c r="E517"/>
      <c r="F517" s="38"/>
      <c r="G517"/>
      <c r="H517" s="38"/>
      <c r="I517"/>
    </row>
    <row r="518" spans="4:9" x14ac:dyDescent="0.25">
      <c r="D518" s="38"/>
      <c r="E518"/>
      <c r="F518" s="38"/>
      <c r="G518"/>
      <c r="H518" s="38"/>
      <c r="I518"/>
    </row>
    <row r="519" spans="4:9" x14ac:dyDescent="0.25">
      <c r="D519" s="38"/>
      <c r="E519"/>
      <c r="F519" s="38"/>
      <c r="G519"/>
      <c r="H519" s="38"/>
      <c r="I519"/>
    </row>
    <row r="520" spans="4:9" x14ac:dyDescent="0.25">
      <c r="D520" s="38"/>
      <c r="E520"/>
      <c r="F520" s="38"/>
      <c r="G520"/>
      <c r="H520" s="38"/>
      <c r="I520"/>
    </row>
    <row r="521" spans="4:9" x14ac:dyDescent="0.25">
      <c r="D521" s="38"/>
      <c r="E521"/>
      <c r="F521" s="38"/>
      <c r="G521"/>
      <c r="H521" s="38"/>
      <c r="I521"/>
    </row>
    <row r="522" spans="4:9" x14ac:dyDescent="0.25">
      <c r="D522" s="38"/>
      <c r="E522"/>
      <c r="F522" s="38"/>
      <c r="G522"/>
      <c r="H522" s="38"/>
      <c r="I522"/>
    </row>
    <row r="523" spans="4:9" x14ac:dyDescent="0.25">
      <c r="D523" s="38"/>
      <c r="E523"/>
      <c r="F523" s="38"/>
      <c r="G523"/>
      <c r="H523" s="38"/>
      <c r="I523"/>
    </row>
    <row r="524" spans="4:9" x14ac:dyDescent="0.25">
      <c r="D524" s="38"/>
      <c r="E524"/>
      <c r="F524" s="38"/>
      <c r="G524"/>
      <c r="H524" s="38"/>
      <c r="I524"/>
    </row>
    <row r="525" spans="4:9" x14ac:dyDescent="0.25">
      <c r="D525" s="38"/>
      <c r="E525"/>
      <c r="F525" s="38"/>
      <c r="G525"/>
      <c r="H525" s="38"/>
      <c r="I525"/>
    </row>
    <row r="526" spans="4:9" x14ac:dyDescent="0.25">
      <c r="D526" s="38"/>
      <c r="E526"/>
      <c r="F526" s="38"/>
      <c r="G526"/>
      <c r="H526" s="38"/>
      <c r="I526"/>
    </row>
    <row r="527" spans="4:9" x14ac:dyDescent="0.25">
      <c r="D527" s="38"/>
      <c r="E527"/>
      <c r="F527" s="38"/>
      <c r="G527"/>
      <c r="H527" s="38"/>
      <c r="I527"/>
    </row>
    <row r="528" spans="4:9" x14ac:dyDescent="0.25">
      <c r="D528" s="38"/>
      <c r="E528"/>
      <c r="F528" s="38"/>
      <c r="G528"/>
      <c r="H528" s="38"/>
      <c r="I528"/>
    </row>
    <row r="529" spans="4:9" x14ac:dyDescent="0.25">
      <c r="D529" s="38"/>
      <c r="E529"/>
      <c r="F529" s="38"/>
      <c r="G529"/>
      <c r="H529" s="38"/>
      <c r="I529"/>
    </row>
    <row r="530" spans="4:9" x14ac:dyDescent="0.25">
      <c r="D530" s="38"/>
      <c r="E530"/>
      <c r="F530" s="38"/>
      <c r="G530"/>
      <c r="H530" s="38"/>
      <c r="I530"/>
    </row>
    <row r="531" spans="4:9" x14ac:dyDescent="0.25">
      <c r="D531" s="38"/>
      <c r="E531"/>
      <c r="F531" s="38"/>
      <c r="G531"/>
      <c r="H531" s="38"/>
      <c r="I531"/>
    </row>
    <row r="532" spans="4:9" x14ac:dyDescent="0.25">
      <c r="D532" s="38"/>
      <c r="E532"/>
      <c r="F532" s="38"/>
      <c r="G532"/>
      <c r="H532" s="38"/>
      <c r="I532"/>
    </row>
    <row r="533" spans="4:9" x14ac:dyDescent="0.25">
      <c r="D533" s="38"/>
      <c r="E533"/>
      <c r="F533" s="38"/>
      <c r="G533"/>
      <c r="H533" s="38"/>
      <c r="I533"/>
    </row>
    <row r="534" spans="4:9" x14ac:dyDescent="0.25">
      <c r="D534" s="38"/>
      <c r="E534"/>
      <c r="F534" s="38"/>
      <c r="G534"/>
      <c r="H534" s="38"/>
      <c r="I534"/>
    </row>
    <row r="535" spans="4:9" x14ac:dyDescent="0.25">
      <c r="D535" s="38"/>
      <c r="E535"/>
      <c r="F535" s="38"/>
      <c r="G535"/>
      <c r="H535" s="38"/>
      <c r="I535"/>
    </row>
    <row r="536" spans="4:9" x14ac:dyDescent="0.25">
      <c r="D536" s="38"/>
      <c r="E536"/>
      <c r="F536" s="38"/>
      <c r="G536"/>
      <c r="H536" s="38"/>
      <c r="I536"/>
    </row>
    <row r="537" spans="4:9" x14ac:dyDescent="0.25">
      <c r="D537" s="38"/>
      <c r="E537"/>
      <c r="F537" s="38"/>
      <c r="G537"/>
      <c r="H537" s="38"/>
      <c r="I537"/>
    </row>
    <row r="538" spans="4:9" x14ac:dyDescent="0.25">
      <c r="D538" s="38"/>
      <c r="E538"/>
      <c r="F538" s="38"/>
      <c r="G538"/>
      <c r="H538" s="38"/>
      <c r="I538"/>
    </row>
    <row r="539" spans="4:9" x14ac:dyDescent="0.25">
      <c r="D539" s="38"/>
      <c r="E539"/>
      <c r="F539" s="38"/>
      <c r="G539"/>
      <c r="H539" s="38"/>
      <c r="I539"/>
    </row>
    <row r="540" spans="4:9" x14ac:dyDescent="0.25">
      <c r="D540" s="38"/>
      <c r="E540"/>
      <c r="F540" s="38"/>
      <c r="G540"/>
      <c r="H540" s="38"/>
      <c r="I540"/>
    </row>
    <row r="541" spans="4:9" x14ac:dyDescent="0.25">
      <c r="D541" s="38"/>
      <c r="E541"/>
      <c r="F541" s="38"/>
      <c r="G541"/>
      <c r="H541" s="38"/>
      <c r="I541"/>
    </row>
    <row r="542" spans="4:9" x14ac:dyDescent="0.25">
      <c r="D542" s="38"/>
      <c r="E542"/>
      <c r="F542" s="38"/>
      <c r="G542"/>
      <c r="H542" s="38"/>
      <c r="I542"/>
    </row>
    <row r="543" spans="4:9" x14ac:dyDescent="0.25">
      <c r="D543" s="38"/>
      <c r="E543"/>
      <c r="F543" s="38"/>
      <c r="G543"/>
      <c r="H543" s="38"/>
      <c r="I543"/>
    </row>
    <row r="544" spans="4:9" x14ac:dyDescent="0.25">
      <c r="D544" s="38"/>
      <c r="E544"/>
      <c r="F544" s="38"/>
      <c r="G544"/>
      <c r="H544" s="38"/>
      <c r="I544"/>
    </row>
    <row r="545" spans="4:9" x14ac:dyDescent="0.25">
      <c r="D545" s="38"/>
      <c r="E545"/>
      <c r="F545" s="38"/>
      <c r="G545"/>
      <c r="H545" s="38"/>
      <c r="I545"/>
    </row>
    <row r="546" spans="4:9" x14ac:dyDescent="0.25">
      <c r="D546" s="38"/>
      <c r="E546"/>
      <c r="F546" s="38"/>
      <c r="G546"/>
      <c r="H546" s="38"/>
      <c r="I546"/>
    </row>
    <row r="547" spans="4:9" x14ac:dyDescent="0.25">
      <c r="D547" s="38"/>
      <c r="E547"/>
      <c r="F547" s="38"/>
      <c r="G547"/>
      <c r="H547" s="38"/>
      <c r="I547"/>
    </row>
    <row r="548" spans="4:9" x14ac:dyDescent="0.25">
      <c r="D548" s="38"/>
      <c r="E548"/>
      <c r="F548" s="38"/>
      <c r="G548"/>
      <c r="H548" s="38"/>
      <c r="I548"/>
    </row>
    <row r="549" spans="4:9" x14ac:dyDescent="0.25">
      <c r="D549" s="38"/>
      <c r="E549"/>
      <c r="F549" s="38"/>
      <c r="G549"/>
      <c r="H549" s="38"/>
      <c r="I549"/>
    </row>
    <row r="550" spans="4:9" x14ac:dyDescent="0.25">
      <c r="D550" s="38"/>
      <c r="E550"/>
      <c r="F550" s="38"/>
      <c r="G550"/>
      <c r="H550" s="38"/>
      <c r="I550"/>
    </row>
    <row r="551" spans="4:9" x14ac:dyDescent="0.25">
      <c r="D551" s="38"/>
      <c r="E551"/>
      <c r="F551" s="38"/>
      <c r="G551"/>
      <c r="H551" s="38"/>
      <c r="I551"/>
    </row>
    <row r="552" spans="4:9" x14ac:dyDescent="0.25">
      <c r="D552" s="38"/>
      <c r="E552"/>
      <c r="F552" s="38"/>
      <c r="G552"/>
      <c r="H552" s="38"/>
      <c r="I552"/>
    </row>
    <row r="553" spans="4:9" x14ac:dyDescent="0.25">
      <c r="D553" s="38"/>
      <c r="E553"/>
      <c r="F553" s="38"/>
      <c r="G553"/>
      <c r="H553" s="38"/>
      <c r="I553"/>
    </row>
    <row r="554" spans="4:9" x14ac:dyDescent="0.25">
      <c r="D554" s="38"/>
      <c r="E554"/>
      <c r="F554" s="38"/>
      <c r="G554"/>
      <c r="H554" s="38"/>
      <c r="I554"/>
    </row>
    <row r="555" spans="4:9" x14ac:dyDescent="0.25">
      <c r="D555" s="38"/>
      <c r="E555"/>
      <c r="F555" s="38"/>
      <c r="G555"/>
      <c r="H555" s="38"/>
      <c r="I555"/>
    </row>
    <row r="556" spans="4:9" x14ac:dyDescent="0.25">
      <c r="D556" s="38"/>
      <c r="E556"/>
      <c r="F556" s="38"/>
      <c r="G556"/>
      <c r="H556" s="38"/>
      <c r="I556"/>
    </row>
    <row r="557" spans="4:9" x14ac:dyDescent="0.25">
      <c r="D557" s="38"/>
      <c r="E557"/>
      <c r="F557" s="38"/>
      <c r="G557"/>
      <c r="H557" s="38"/>
      <c r="I557"/>
    </row>
    <row r="558" spans="4:9" x14ac:dyDescent="0.25">
      <c r="D558" s="38"/>
      <c r="E558"/>
      <c r="F558" s="38"/>
      <c r="G558"/>
      <c r="H558" s="38"/>
      <c r="I558"/>
    </row>
    <row r="559" spans="4:9" x14ac:dyDescent="0.25">
      <c r="D559" s="38"/>
      <c r="E559"/>
      <c r="F559" s="38"/>
      <c r="G559"/>
      <c r="H559" s="38"/>
      <c r="I559"/>
    </row>
    <row r="560" spans="4:9" x14ac:dyDescent="0.25">
      <c r="D560" s="38"/>
      <c r="E560"/>
      <c r="F560" s="38"/>
      <c r="G560"/>
      <c r="H560" s="38"/>
      <c r="I560"/>
    </row>
    <row r="561" spans="4:9" x14ac:dyDescent="0.25">
      <c r="D561" s="38"/>
      <c r="E561"/>
      <c r="F561" s="38"/>
      <c r="G561"/>
      <c r="H561" s="38"/>
      <c r="I561"/>
    </row>
    <row r="562" spans="4:9" x14ac:dyDescent="0.25">
      <c r="D562" s="38"/>
      <c r="E562"/>
      <c r="F562" s="38"/>
      <c r="G562"/>
      <c r="H562" s="38"/>
      <c r="I562"/>
    </row>
    <row r="563" spans="4:9" x14ac:dyDescent="0.25">
      <c r="D563" s="38"/>
      <c r="E563"/>
      <c r="F563" s="38"/>
      <c r="G563"/>
      <c r="H563" s="38"/>
      <c r="I563"/>
    </row>
    <row r="564" spans="4:9" x14ac:dyDescent="0.25">
      <c r="D564" s="38"/>
      <c r="E564"/>
      <c r="F564" s="38"/>
      <c r="G564"/>
      <c r="H564" s="38"/>
      <c r="I564"/>
    </row>
    <row r="565" spans="4:9" x14ac:dyDescent="0.25">
      <c r="D565" s="38"/>
      <c r="E565"/>
      <c r="F565" s="38"/>
      <c r="G565"/>
      <c r="H565" s="38"/>
      <c r="I565"/>
    </row>
    <row r="566" spans="4:9" x14ac:dyDescent="0.25">
      <c r="D566" s="38"/>
      <c r="E566"/>
      <c r="F566" s="38"/>
      <c r="G566"/>
      <c r="H566" s="38"/>
      <c r="I566"/>
    </row>
    <row r="567" spans="4:9" x14ac:dyDescent="0.25">
      <c r="D567" s="38"/>
      <c r="E567"/>
      <c r="F567" s="38"/>
      <c r="G567"/>
      <c r="H567" s="38"/>
      <c r="I567"/>
    </row>
    <row r="568" spans="4:9" x14ac:dyDescent="0.25">
      <c r="D568" s="38"/>
      <c r="E568"/>
      <c r="F568" s="38"/>
      <c r="G568"/>
      <c r="H568" s="38"/>
      <c r="I568"/>
    </row>
    <row r="569" spans="4:9" x14ac:dyDescent="0.25">
      <c r="D569" s="38"/>
      <c r="E569"/>
      <c r="F569" s="38"/>
      <c r="G569"/>
      <c r="H569" s="38"/>
      <c r="I569"/>
    </row>
    <row r="570" spans="4:9" x14ac:dyDescent="0.25">
      <c r="D570" s="38"/>
      <c r="E570"/>
      <c r="F570" s="38"/>
      <c r="G570"/>
      <c r="H570" s="38"/>
      <c r="I570"/>
    </row>
    <row r="571" spans="4:9" x14ac:dyDescent="0.25">
      <c r="D571" s="38"/>
      <c r="E571"/>
      <c r="F571" s="38"/>
      <c r="G571"/>
      <c r="H571" s="38"/>
      <c r="I571"/>
    </row>
    <row r="572" spans="4:9" x14ac:dyDescent="0.25">
      <c r="D572" s="38"/>
      <c r="E572"/>
      <c r="F572" s="38"/>
      <c r="G572"/>
      <c r="H572" s="38"/>
      <c r="I572"/>
    </row>
    <row r="573" spans="4:9" x14ac:dyDescent="0.25">
      <c r="D573" s="38"/>
      <c r="E573"/>
      <c r="F573" s="38"/>
      <c r="G573"/>
      <c r="H573" s="38"/>
      <c r="I573"/>
    </row>
    <row r="574" spans="4:9" x14ac:dyDescent="0.25">
      <c r="D574" s="38"/>
      <c r="E574"/>
      <c r="F574" s="38"/>
      <c r="G574"/>
      <c r="H574" s="38"/>
      <c r="I574"/>
    </row>
    <row r="575" spans="4:9" x14ac:dyDescent="0.25">
      <c r="D575" s="38"/>
      <c r="E575"/>
      <c r="F575" s="38"/>
      <c r="G575"/>
      <c r="H575" s="38"/>
      <c r="I575"/>
    </row>
    <row r="576" spans="4:9" x14ac:dyDescent="0.25">
      <c r="D576" s="38"/>
      <c r="E576"/>
      <c r="F576" s="38"/>
      <c r="G576"/>
      <c r="H576" s="38"/>
      <c r="I576"/>
    </row>
    <row r="577" spans="4:9" x14ac:dyDescent="0.25">
      <c r="D577" s="38"/>
      <c r="E577"/>
      <c r="F577" s="38"/>
      <c r="G577"/>
      <c r="H577" s="38"/>
      <c r="I577"/>
    </row>
    <row r="578" spans="4:9" x14ac:dyDescent="0.25">
      <c r="D578" s="38"/>
      <c r="E578"/>
      <c r="F578" s="38"/>
      <c r="G578"/>
      <c r="H578" s="38"/>
      <c r="I578"/>
    </row>
    <row r="579" spans="4:9" x14ac:dyDescent="0.25">
      <c r="D579" s="38"/>
      <c r="E579"/>
      <c r="F579" s="38"/>
      <c r="G579"/>
      <c r="H579" s="38"/>
      <c r="I579"/>
    </row>
    <row r="580" spans="4:9" x14ac:dyDescent="0.25">
      <c r="D580" s="38"/>
      <c r="E580"/>
      <c r="F580" s="38"/>
      <c r="G580"/>
      <c r="H580" s="38"/>
      <c r="I580"/>
    </row>
    <row r="581" spans="4:9" x14ac:dyDescent="0.25">
      <c r="D581" s="38"/>
      <c r="E581"/>
      <c r="F581" s="38"/>
      <c r="G581"/>
      <c r="H581" s="38"/>
      <c r="I581"/>
    </row>
  </sheetData>
  <mergeCells count="3">
    <mergeCell ref="D2:E2"/>
    <mergeCell ref="F2:G2"/>
    <mergeCell ref="H2:I2"/>
  </mergeCells>
  <conditionalFormatting sqref="H6:I6">
    <cfRule type="dataBar" priority="1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{FDDADAEF-8699-4E36-A3E9-E00A217889B5}</x14:id>
        </ext>
      </extLst>
    </cfRule>
  </conditionalFormatting>
  <conditionalFormatting sqref="I16">
    <cfRule type="dataBar" priority="3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{400A56FC-3773-4DCC-A0AF-2A3A0B1DFFCB}</x14:id>
        </ext>
      </extLst>
    </cfRule>
  </conditionalFormatting>
  <conditionalFormatting sqref="I23">
    <cfRule type="dataBar" priority="1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{7A5EE86C-DEAD-4342-AE4F-013A05C4203F}</x14:id>
        </ext>
      </extLst>
    </cfRule>
  </conditionalFormatting>
  <conditionalFormatting sqref="I32">
    <cfRule type="dataBar" priority="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{04762B72-8B66-4E0A-892A-3686630231E9}</x14:id>
        </ext>
      </extLst>
    </cfRule>
  </conditionalFormatting>
  <conditionalFormatting sqref="I41">
    <cfRule type="dataBar" priority="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{0715AF0E-6D1A-4A41-8686-0D977168536A}</x14:id>
        </ext>
      </extLst>
    </cfRule>
  </conditionalFormatting>
  <conditionalFormatting sqref="I45">
    <cfRule type="dataBar" priority="1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{C00D6CA6-950C-4FED-9313-355BDD4A296A}</x14:id>
        </ext>
      </extLst>
    </cfRule>
  </conditionalFormatting>
  <conditionalFormatting sqref="I60">
    <cfRule type="dataBar" priority="1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{176E3882-C0E9-4C40-87A8-60CC77E34EB8}</x14:id>
        </ext>
      </extLst>
    </cfRule>
  </conditionalFormatting>
  <conditionalFormatting sqref="I80">
    <cfRule type="dataBar" priority="10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{311272D8-B1F2-4D97-AA75-6243D924067D}</x14:id>
        </ext>
      </extLst>
    </cfRule>
  </conditionalFormatting>
  <conditionalFormatting sqref="I86">
    <cfRule type="dataBar" priority="9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{98E03577-E622-4096-AB09-EDA48E791B6C}</x14:id>
        </ext>
      </extLst>
    </cfRule>
  </conditionalFormatting>
  <conditionalFormatting sqref="I93">
    <cfRule type="dataBar" priority="8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{D8C4FD73-82A8-430D-B3AF-D247E8915BF5}</x14:id>
        </ext>
      </extLst>
    </cfRule>
  </conditionalFormatting>
  <conditionalFormatting sqref="I99">
    <cfRule type="dataBar" priority="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{691D195B-DF02-40B1-8596-5323433F824D}</x14:id>
        </ext>
      </extLst>
    </cfRule>
  </conditionalFormatting>
  <conditionalFormatting sqref="I109">
    <cfRule type="dataBar" priority="6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{F8123882-358D-4819-A2B0-0091BA7B3677}</x14:id>
        </ext>
      </extLst>
    </cfRule>
  </conditionalFormatting>
  <conditionalFormatting sqref="I115">
    <cfRule type="dataBar" priority="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{5C407B87-623C-4810-898C-A75A82351059}</x14:id>
        </ext>
      </extLst>
    </cfRule>
  </conditionalFormatting>
  <conditionalFormatting sqref="I126">
    <cfRule type="dataBar" priority="4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{3D0F6E32-3AFC-4DB0-B9D6-94B4F0C2561B}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DADAEF-8699-4E36-A3E9-E00A217889B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H6:I6</xm:sqref>
        </x14:conditionalFormatting>
        <x14:conditionalFormatting xmlns:xm="http://schemas.microsoft.com/office/excel/2006/main">
          <x14:cfRule type="dataBar" id="{400A56FC-3773-4DCC-A0AF-2A3A0B1DFFC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A5EE86C-DEAD-4342-AE4F-013A05C4203F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04762B72-8B66-4E0A-892A-3686630231E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0715AF0E-6D1A-4A41-8686-0D97716853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I41</xm:sqref>
        </x14:conditionalFormatting>
        <x14:conditionalFormatting xmlns:xm="http://schemas.microsoft.com/office/excel/2006/main">
          <x14:cfRule type="dataBar" id="{C00D6CA6-950C-4FED-9313-355BDD4A29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>
          <x14:cfRule type="dataBar" id="{176E3882-C0E9-4C40-87A8-60CC77E34EB8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I60</xm:sqref>
        </x14:conditionalFormatting>
        <x14:conditionalFormatting xmlns:xm="http://schemas.microsoft.com/office/excel/2006/main">
          <x14:cfRule type="dataBar" id="{311272D8-B1F2-4D97-AA75-6243D924067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I80</xm:sqref>
        </x14:conditionalFormatting>
        <x14:conditionalFormatting xmlns:xm="http://schemas.microsoft.com/office/excel/2006/main">
          <x14:cfRule type="dataBar" id="{98E03577-E622-4096-AB09-EDA48E791B6C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D8C4FD73-82A8-430D-B3AF-D247E8915BF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I93</xm:sqref>
        </x14:conditionalFormatting>
        <x14:conditionalFormatting xmlns:xm="http://schemas.microsoft.com/office/excel/2006/main">
          <x14:cfRule type="dataBar" id="{691D195B-DF02-40B1-8596-5323433F824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I99</xm:sqref>
        </x14:conditionalFormatting>
        <x14:conditionalFormatting xmlns:xm="http://schemas.microsoft.com/office/excel/2006/main">
          <x14:cfRule type="dataBar" id="{F8123882-358D-4819-A2B0-0091BA7B3677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I109</xm:sqref>
        </x14:conditionalFormatting>
        <x14:conditionalFormatting xmlns:xm="http://schemas.microsoft.com/office/excel/2006/main">
          <x14:cfRule type="dataBar" id="{5C407B87-623C-4810-898C-A75A8235105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I115</xm:sqref>
        </x14:conditionalFormatting>
        <x14:conditionalFormatting xmlns:xm="http://schemas.microsoft.com/office/excel/2006/main">
          <x14:cfRule type="dataBar" id="{3D0F6E32-3AFC-4DB0-B9D6-94B4F0C2561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B02-B2BC-4468-8D42-C3F9CC939574}">
  <sheetPr codeName="Sheet6"/>
  <dimension ref="B2:H37"/>
  <sheetViews>
    <sheetView workbookViewId="0">
      <selection activeCell="E12" sqref="E12"/>
    </sheetView>
    <sheetView workbookViewId="1"/>
  </sheetViews>
  <sheetFormatPr defaultRowHeight="15" x14ac:dyDescent="0.25"/>
  <cols>
    <col min="1" max="1" width="4.42578125" customWidth="1"/>
    <col min="2" max="2" width="4.140625" customWidth="1"/>
    <col min="3" max="3" width="30.140625" customWidth="1"/>
    <col min="4" max="4" width="15.28515625" style="64" customWidth="1"/>
    <col min="5" max="5" width="15.7109375" style="64" customWidth="1"/>
    <col min="6" max="7" width="15.5703125" style="64" customWidth="1"/>
    <col min="8" max="8" width="14.28515625" customWidth="1"/>
  </cols>
  <sheetData>
    <row r="2" spans="2:3" x14ac:dyDescent="0.25">
      <c r="B2" t="s">
        <v>526</v>
      </c>
    </row>
    <row r="3" spans="2:3" x14ac:dyDescent="0.25">
      <c r="C3" t="s">
        <v>492</v>
      </c>
    </row>
    <row r="4" spans="2:3" x14ac:dyDescent="0.25">
      <c r="C4" t="s">
        <v>493</v>
      </c>
    </row>
    <row r="5" spans="2:3" x14ac:dyDescent="0.25">
      <c r="C5" t="s">
        <v>494</v>
      </c>
    </row>
    <row r="6" spans="2:3" x14ac:dyDescent="0.25">
      <c r="C6" t="s">
        <v>527</v>
      </c>
    </row>
    <row r="7" spans="2:3" x14ac:dyDescent="0.25">
      <c r="C7" t="s">
        <v>676</v>
      </c>
    </row>
    <row r="8" spans="2:3" x14ac:dyDescent="0.25">
      <c r="C8" t="s">
        <v>666</v>
      </c>
    </row>
    <row r="9" spans="2:3" x14ac:dyDescent="0.25">
      <c r="C9" t="s">
        <v>677</v>
      </c>
    </row>
    <row r="10" spans="2:3" x14ac:dyDescent="0.25">
      <c r="C10" t="s">
        <v>495</v>
      </c>
    </row>
    <row r="11" spans="2:3" x14ac:dyDescent="0.25">
      <c r="C11" t="s">
        <v>674</v>
      </c>
    </row>
    <row r="13" spans="2:3" x14ac:dyDescent="0.25">
      <c r="B13" t="s">
        <v>529</v>
      </c>
    </row>
    <row r="14" spans="2:3" x14ac:dyDescent="0.25">
      <c r="C14" t="s">
        <v>103</v>
      </c>
    </row>
    <row r="15" spans="2:3" x14ac:dyDescent="0.25">
      <c r="C15" t="s">
        <v>476</v>
      </c>
    </row>
    <row r="16" spans="2:3" x14ac:dyDescent="0.25">
      <c r="C16" t="s">
        <v>302</v>
      </c>
    </row>
    <row r="19" spans="2:8" x14ac:dyDescent="0.25">
      <c r="B19" t="s">
        <v>533</v>
      </c>
      <c r="D19" s="64" t="s">
        <v>452</v>
      </c>
      <c r="E19" s="64" t="s">
        <v>536</v>
      </c>
      <c r="F19" s="64" t="s">
        <v>486</v>
      </c>
      <c r="G19" s="64" t="s">
        <v>564</v>
      </c>
      <c r="H19" s="64" t="s">
        <v>548</v>
      </c>
    </row>
    <row r="20" spans="2:8" x14ac:dyDescent="0.25">
      <c r="C20" t="s">
        <v>534</v>
      </c>
      <c r="D20" s="64">
        <v>10</v>
      </c>
      <c r="E20" s="64">
        <v>50</v>
      </c>
      <c r="F20" s="64">
        <v>10</v>
      </c>
      <c r="G20" s="64">
        <v>50</v>
      </c>
      <c r="H20" s="64">
        <v>10</v>
      </c>
    </row>
    <row r="21" spans="2:8" x14ac:dyDescent="0.25">
      <c r="C21" t="s">
        <v>535</v>
      </c>
      <c r="D21" s="64">
        <v>10</v>
      </c>
      <c r="E21" s="64">
        <v>50</v>
      </c>
      <c r="F21" s="64">
        <v>50</v>
      </c>
      <c r="G21" s="64">
        <v>100</v>
      </c>
      <c r="H21" s="64">
        <v>10</v>
      </c>
    </row>
    <row r="22" spans="2:8" x14ac:dyDescent="0.25">
      <c r="C22" t="s">
        <v>536</v>
      </c>
      <c r="D22" s="64">
        <v>10</v>
      </c>
      <c r="E22" s="64">
        <v>100</v>
      </c>
      <c r="F22" s="64">
        <v>20</v>
      </c>
      <c r="G22" s="64">
        <v>10</v>
      </c>
      <c r="H22" s="64">
        <v>10</v>
      </c>
    </row>
    <row r="23" spans="2:8" x14ac:dyDescent="0.25">
      <c r="C23" t="s">
        <v>547</v>
      </c>
      <c r="D23" s="64">
        <v>10</v>
      </c>
      <c r="E23" s="64">
        <v>50</v>
      </c>
      <c r="F23" s="64">
        <v>0</v>
      </c>
      <c r="G23" s="64">
        <v>10</v>
      </c>
      <c r="H23" s="64">
        <v>10</v>
      </c>
    </row>
    <row r="24" spans="2:8" x14ac:dyDescent="0.25">
      <c r="C24" t="s">
        <v>538</v>
      </c>
      <c r="D24" s="64">
        <v>10</v>
      </c>
      <c r="E24" s="64">
        <v>50</v>
      </c>
      <c r="F24" s="64">
        <v>20</v>
      </c>
      <c r="G24" s="64">
        <v>10</v>
      </c>
      <c r="H24" s="64">
        <v>10</v>
      </c>
    </row>
    <row r="25" spans="2:8" x14ac:dyDescent="0.25">
      <c r="C25" t="s">
        <v>486</v>
      </c>
      <c r="D25" s="64">
        <v>10</v>
      </c>
      <c r="E25" s="64">
        <v>10</v>
      </c>
      <c r="F25" s="64">
        <v>100</v>
      </c>
      <c r="G25" s="64">
        <v>10</v>
      </c>
      <c r="H25" s="64">
        <v>10</v>
      </c>
    </row>
    <row r="26" spans="2:8" x14ac:dyDescent="0.25">
      <c r="C26" t="s">
        <v>537</v>
      </c>
      <c r="D26" s="64">
        <v>10</v>
      </c>
      <c r="E26" s="64">
        <v>10</v>
      </c>
      <c r="F26" s="64">
        <v>0</v>
      </c>
      <c r="G26" s="64">
        <v>10</v>
      </c>
      <c r="H26" s="64">
        <v>10</v>
      </c>
    </row>
    <row r="27" spans="2:8" x14ac:dyDescent="0.25">
      <c r="C27" t="s">
        <v>539</v>
      </c>
      <c r="D27" s="64">
        <v>10</v>
      </c>
      <c r="E27" s="64">
        <v>10</v>
      </c>
      <c r="F27" s="64">
        <v>10</v>
      </c>
      <c r="G27" s="64">
        <v>50</v>
      </c>
      <c r="H27" s="64">
        <v>10</v>
      </c>
    </row>
    <row r="28" spans="2:8" x14ac:dyDescent="0.25">
      <c r="C28" t="s">
        <v>541</v>
      </c>
      <c r="D28" s="64">
        <v>10</v>
      </c>
      <c r="E28" s="64">
        <v>10</v>
      </c>
      <c r="F28" s="64">
        <v>0</v>
      </c>
      <c r="G28" s="64">
        <v>50</v>
      </c>
      <c r="H28" s="64">
        <v>10</v>
      </c>
    </row>
    <row r="29" spans="2:8" x14ac:dyDescent="0.25">
      <c r="C29" t="s">
        <v>542</v>
      </c>
      <c r="D29" s="64">
        <v>10</v>
      </c>
      <c r="E29" s="64">
        <v>10</v>
      </c>
      <c r="F29" s="64">
        <v>0</v>
      </c>
      <c r="G29" s="64">
        <v>50</v>
      </c>
      <c r="H29" s="64">
        <v>10</v>
      </c>
    </row>
    <row r="30" spans="2:8" x14ac:dyDescent="0.25">
      <c r="C30" t="s">
        <v>565</v>
      </c>
      <c r="D30" s="64">
        <v>10</v>
      </c>
      <c r="E30" s="64">
        <v>0</v>
      </c>
      <c r="F30" s="64">
        <v>0</v>
      </c>
      <c r="G30" s="64">
        <v>100</v>
      </c>
      <c r="H30" s="64">
        <v>10</v>
      </c>
    </row>
    <row r="31" spans="2:8" x14ac:dyDescent="0.25">
      <c r="C31" t="s">
        <v>563</v>
      </c>
      <c r="D31" s="64">
        <v>10</v>
      </c>
      <c r="E31" s="64">
        <v>0</v>
      </c>
      <c r="F31" s="64">
        <v>0</v>
      </c>
      <c r="G31" s="64">
        <v>50</v>
      </c>
      <c r="H31" s="64">
        <v>10</v>
      </c>
    </row>
    <row r="32" spans="2:8" x14ac:dyDescent="0.25">
      <c r="C32" t="s">
        <v>540</v>
      </c>
      <c r="D32" s="64">
        <v>10</v>
      </c>
      <c r="E32" s="64">
        <v>0</v>
      </c>
      <c r="F32" s="64">
        <v>0</v>
      </c>
      <c r="G32" s="64">
        <v>0</v>
      </c>
      <c r="H32" s="64">
        <v>50</v>
      </c>
    </row>
    <row r="33" spans="2:8" x14ac:dyDescent="0.25">
      <c r="C33" t="s">
        <v>543</v>
      </c>
      <c r="D33" s="64">
        <v>10</v>
      </c>
      <c r="E33" s="64">
        <v>0</v>
      </c>
      <c r="F33" s="64">
        <v>0</v>
      </c>
      <c r="G33" s="64">
        <v>0</v>
      </c>
      <c r="H33" s="64">
        <v>100</v>
      </c>
    </row>
    <row r="34" spans="2:8" x14ac:dyDescent="0.25">
      <c r="D34" s="88">
        <f>SUM(D20:D33)</f>
        <v>140</v>
      </c>
      <c r="E34" s="88">
        <f>SUM(E20:E33)</f>
        <v>350</v>
      </c>
      <c r="F34" s="88">
        <f>SUM(F20:F33)</f>
        <v>210</v>
      </c>
      <c r="G34" s="88">
        <f>SUM(G20:G33)</f>
        <v>500</v>
      </c>
      <c r="H34" s="88">
        <f>SUM(H20:H33)</f>
        <v>270</v>
      </c>
    </row>
    <row r="36" spans="2:8" x14ac:dyDescent="0.25">
      <c r="B36" t="s">
        <v>661</v>
      </c>
    </row>
    <row r="37" spans="2:8" x14ac:dyDescent="0.25">
      <c r="C37" t="s">
        <v>662</v>
      </c>
      <c r="D37" s="99"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Assesment</vt:lpstr>
      <vt:lpstr>Survey</vt:lpstr>
      <vt:lpstr>Calculations</vt:lpstr>
      <vt:lpstr>Parameters</vt:lpstr>
      <vt:lpstr>AssesmentTargets</vt:lpstr>
      <vt:lpstr>ItemState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Pan</dc:creator>
  <cp:lastModifiedBy>Peter Pan</cp:lastModifiedBy>
  <dcterms:created xsi:type="dcterms:W3CDTF">2024-01-30T02:33:49Z</dcterms:created>
  <dcterms:modified xsi:type="dcterms:W3CDTF">2024-02-06T01:12:26Z</dcterms:modified>
</cp:coreProperties>
</file>