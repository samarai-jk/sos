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Private\Sailing\sos\"/>
    </mc:Choice>
  </mc:AlternateContent>
  <xr:revisionPtr revIDLastSave="0" documentId="13_ncr:1_{CE6E4634-9589-4278-9C43-7F1E426393E2}" xr6:coauthVersionLast="47" xr6:coauthVersionMax="47" xr10:uidLastSave="{00000000-0000-0000-0000-000000000000}"/>
  <bookViews>
    <workbookView xWindow="3615" yWindow="1470" windowWidth="25110" windowHeight="23970" xr2:uid="{91BC6740-D7D4-4E55-AC3F-4AE94734BDF0}"/>
  </bookViews>
  <sheets>
    <sheet name="Assesment" sheetId="6" r:id="rId1"/>
    <sheet name="Survey" sheetId="9" r:id="rId2"/>
    <sheet name="Customization" sheetId="10" r:id="rId3"/>
    <sheet name="Calculations" sheetId="4" r:id="rId4"/>
    <sheet name="Parameters" sheetId="7" r:id="rId5"/>
  </sheets>
  <functionGroups builtInGroupCount="19"/>
  <definedNames>
    <definedName name="AssesmentTargets">Parameters!$C$15:$C$17</definedName>
    <definedName name="ItemState">Parameters!$C$3:$C$12</definedName>
    <definedName name="SurveyUserData">Survey!$H$14:$K$148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3" i="9" l="1"/>
  <c r="S118" i="9"/>
  <c r="S126" i="9"/>
  <c r="S131" i="9"/>
  <c r="S144" i="9"/>
  <c r="S67" i="9"/>
  <c r="S69" i="9"/>
  <c r="S80" i="9"/>
  <c r="S75" i="9"/>
  <c r="S83" i="9"/>
  <c r="S89" i="9"/>
  <c r="S94" i="9"/>
  <c r="S103" i="9"/>
  <c r="S108" i="9"/>
  <c r="S23" i="9"/>
  <c r="S37" i="9"/>
  <c r="S47" i="9"/>
  <c r="S52" i="9"/>
  <c r="S57" i="9"/>
  <c r="Q92" i="9"/>
  <c r="S92" i="9" l="1"/>
  <c r="D63" i="6"/>
  <c r="F52" i="6"/>
  <c r="Q44" i="9"/>
  <c r="Q106" i="9"/>
  <c r="Q71" i="10"/>
  <c r="Q69" i="10"/>
  <c r="Q64" i="10"/>
  <c r="Q62" i="10"/>
  <c r="Q61" i="10"/>
  <c r="Q68" i="10"/>
  <c r="Q66" i="10"/>
  <c r="Q65" i="10"/>
  <c r="Q60" i="10"/>
  <c r="S106" i="9" l="1"/>
  <c r="S44" i="9"/>
  <c r="Q73" i="10"/>
  <c r="D60" i="6" s="1"/>
  <c r="B2" i="6"/>
  <c r="M50" i="10" l="1"/>
  <c r="N50" i="10"/>
  <c r="O50" i="10"/>
  <c r="O31" i="10"/>
  <c r="N31" i="10"/>
  <c r="M31" i="10"/>
  <c r="O56" i="10"/>
  <c r="N56" i="10"/>
  <c r="M56" i="10"/>
  <c r="Q35" i="10"/>
  <c r="Q29" i="10"/>
  <c r="Q27" i="10"/>
  <c r="Q19" i="10"/>
  <c r="Q23" i="10"/>
  <c r="Q17" i="10"/>
  <c r="Q24" i="10"/>
  <c r="Q46" i="10"/>
  <c r="Q44" i="10"/>
  <c r="Q27" i="9"/>
  <c r="Q18" i="10"/>
  <c r="Q25" i="10"/>
  <c r="Q40" i="10"/>
  <c r="Q37" i="10"/>
  <c r="Q36" i="10"/>
  <c r="Q22" i="10"/>
  <c r="Q43" i="10"/>
  <c r="Q47" i="10"/>
  <c r="Q39" i="10"/>
  <c r="Q21" i="10"/>
  <c r="Q38" i="10"/>
  <c r="Q42" i="10"/>
  <c r="Q54" i="10"/>
  <c r="Q48" i="10"/>
  <c r="Q26" i="10"/>
  <c r="S27" i="9" l="1"/>
  <c r="Q56" i="10"/>
  <c r="Q50" i="10"/>
  <c r="D57" i="6" s="1"/>
  <c r="Q31" i="10"/>
  <c r="D56" i="6" s="1"/>
  <c r="O149" i="9"/>
  <c r="N149" i="9"/>
  <c r="M149" i="9"/>
  <c r="I424" i="4"/>
  <c r="G424" i="4"/>
  <c r="E424" i="4"/>
  <c r="F46" i="6"/>
  <c r="I322" i="4"/>
  <c r="G322" i="4"/>
  <c r="E322" i="4"/>
  <c r="I392" i="4"/>
  <c r="G392" i="4"/>
  <c r="E392" i="4"/>
  <c r="I312" i="4"/>
  <c r="I301" i="4"/>
  <c r="G301" i="4"/>
  <c r="G312" i="4"/>
  <c r="E312" i="4"/>
  <c r="Q141" i="9"/>
  <c r="Q100" i="9"/>
  <c r="Q55" i="9"/>
  <c r="Q17" i="9"/>
  <c r="Q137" i="9"/>
  <c r="Q54" i="9"/>
  <c r="Q16" i="9"/>
  <c r="Q93" i="9"/>
  <c r="Q53" i="9"/>
  <c r="Q15" i="9"/>
  <c r="Q91" i="9"/>
  <c r="Q26" i="9"/>
  <c r="Q46" i="9"/>
  <c r="Q38" i="9"/>
  <c r="Q24" i="9"/>
  <c r="Q34" i="9"/>
  <c r="Q72" i="9"/>
  <c r="Q70" i="9"/>
  <c r="Q112" i="9"/>
  <c r="Q68" i="9"/>
  <c r="Q105" i="9"/>
  <c r="Q61" i="9"/>
  <c r="Q135" i="9"/>
  <c r="Q99" i="9"/>
  <c r="Q129" i="9"/>
  <c r="Q87" i="9"/>
  <c r="Q120" i="9"/>
  <c r="Q81" i="9"/>
  <c r="Q25" i="9"/>
  <c r="Q71" i="9"/>
  <c r="Q114" i="9"/>
  <c r="Q31" i="9"/>
  <c r="Q66" i="9"/>
  <c r="Q50" i="9"/>
  <c r="Q22" i="9"/>
  <c r="Q64" i="9"/>
  <c r="Q134" i="9"/>
  <c r="Q88" i="9"/>
  <c r="Q125" i="9"/>
  <c r="Q43" i="9"/>
  <c r="Q74" i="9"/>
  <c r="Q42" i="9"/>
  <c r="Q28" i="9"/>
  <c r="Q115" i="9"/>
  <c r="Q32" i="9"/>
  <c r="Q110" i="9"/>
  <c r="Q51" i="9"/>
  <c r="Q139" i="9"/>
  <c r="Q97" i="9"/>
  <c r="Q140" i="9"/>
  <c r="Q36" i="9"/>
  <c r="Q41" i="9"/>
  <c r="Q35" i="9"/>
  <c r="Q124" i="9"/>
  <c r="Q73" i="9"/>
  <c r="Q33" i="9"/>
  <c r="Q111" i="9"/>
  <c r="Q145" i="9"/>
  <c r="Q48" i="9"/>
  <c r="Q142" i="9"/>
  <c r="Q132" i="9"/>
  <c r="Q130" i="9"/>
  <c r="Q90" i="9"/>
  <c r="Q84" i="9"/>
  <c r="Q86" i="9"/>
  <c r="Q82" i="9"/>
  <c r="Q39" i="9"/>
  <c r="Q45" i="9"/>
  <c r="Q77" i="9"/>
  <c r="Q29" i="9"/>
  <c r="Q60" i="9"/>
  <c r="Q133" i="9"/>
  <c r="Q95" i="9"/>
  <c r="Q85" i="9"/>
  <c r="Q78" i="9"/>
  <c r="Q146" i="9"/>
  <c r="Q65" i="9"/>
  <c r="Q59" i="9"/>
  <c r="Q101" i="9"/>
  <c r="Q18" i="9"/>
  <c r="Q128" i="9"/>
  <c r="Q122" i="9"/>
  <c r="Q116" i="9"/>
  <c r="Q30" i="9"/>
  <c r="Q107" i="9"/>
  <c r="Q102" i="9"/>
  <c r="Q20" i="9"/>
  <c r="Q127" i="9"/>
  <c r="Q119" i="9"/>
  <c r="Q121" i="9"/>
  <c r="Q79" i="9"/>
  <c r="Q40" i="9"/>
  <c r="Q76" i="9"/>
  <c r="Q109" i="9"/>
  <c r="Q143" i="9"/>
  <c r="Q98" i="9"/>
  <c r="Q123" i="9"/>
  <c r="Q62" i="9"/>
  <c r="Q136" i="9"/>
  <c r="Q21" i="9"/>
  <c r="Q63" i="9"/>
  <c r="Q117" i="9"/>
  <c r="Q104" i="9"/>
  <c r="Q138" i="9"/>
  <c r="Q56" i="9"/>
  <c r="Q58" i="9"/>
  <c r="Q49" i="9"/>
  <c r="Q147" i="9"/>
  <c r="Q96" i="9"/>
  <c r="Q19" i="9"/>
  <c r="S147" i="9" l="1"/>
  <c r="S138" i="9"/>
  <c r="S117" i="9"/>
  <c r="S136" i="9"/>
  <c r="S123" i="9"/>
  <c r="S143" i="9"/>
  <c r="S109" i="9"/>
  <c r="S121" i="9"/>
  <c r="S119" i="9"/>
  <c r="S127" i="9"/>
  <c r="S116" i="9"/>
  <c r="S122" i="9"/>
  <c r="S128" i="9"/>
  <c r="S146" i="9"/>
  <c r="S133" i="9"/>
  <c r="S130" i="9"/>
  <c r="S132" i="9"/>
  <c r="S142" i="9"/>
  <c r="S145" i="9"/>
  <c r="S111" i="9"/>
  <c r="S124" i="9"/>
  <c r="S140" i="9"/>
  <c r="S139" i="9"/>
  <c r="S110" i="9"/>
  <c r="S115" i="9"/>
  <c r="S125" i="9"/>
  <c r="S134" i="9"/>
  <c r="S114" i="9"/>
  <c r="S120" i="9"/>
  <c r="S129" i="9"/>
  <c r="S135" i="9"/>
  <c r="S112" i="9"/>
  <c r="S137" i="9"/>
  <c r="S141" i="9"/>
  <c r="S96" i="9"/>
  <c r="S104" i="9"/>
  <c r="S63" i="9"/>
  <c r="S98" i="9"/>
  <c r="S76" i="9"/>
  <c r="S79" i="9"/>
  <c r="S102" i="9"/>
  <c r="S107" i="9"/>
  <c r="S101" i="9"/>
  <c r="S65" i="9"/>
  <c r="S78" i="9"/>
  <c r="S85" i="9"/>
  <c r="S95" i="9"/>
  <c r="S77" i="9"/>
  <c r="S82" i="9"/>
  <c r="S86" i="9"/>
  <c r="S84" i="9"/>
  <c r="S90" i="9"/>
  <c r="S73" i="9"/>
  <c r="S97" i="9"/>
  <c r="S74" i="9"/>
  <c r="S88" i="9"/>
  <c r="S64" i="9"/>
  <c r="S66" i="9"/>
  <c r="S71" i="9"/>
  <c r="S81" i="9"/>
  <c r="S87" i="9"/>
  <c r="S99" i="9"/>
  <c r="S105" i="9"/>
  <c r="S68" i="9"/>
  <c r="S70" i="9"/>
  <c r="S72" i="9"/>
  <c r="S91" i="9"/>
  <c r="S93" i="9"/>
  <c r="S100" i="9"/>
  <c r="S19" i="9"/>
  <c r="S49" i="9"/>
  <c r="S58" i="9"/>
  <c r="S56" i="9"/>
  <c r="S21" i="9"/>
  <c r="S62" i="9"/>
  <c r="S40" i="9"/>
  <c r="S20" i="9"/>
  <c r="S30" i="9"/>
  <c r="S18" i="9"/>
  <c r="S59" i="9"/>
  <c r="S60" i="9"/>
  <c r="S29" i="9"/>
  <c r="S45" i="9"/>
  <c r="S39" i="9"/>
  <c r="S48" i="9"/>
  <c r="S33" i="9"/>
  <c r="S35" i="9"/>
  <c r="S41" i="9"/>
  <c r="S36" i="9"/>
  <c r="S51" i="9"/>
  <c r="S32" i="9"/>
  <c r="S28" i="9"/>
  <c r="S42" i="9"/>
  <c r="S43" i="9"/>
  <c r="S22" i="9"/>
  <c r="S50" i="9"/>
  <c r="S31" i="9"/>
  <c r="S25" i="9"/>
  <c r="S61" i="9"/>
  <c r="S34" i="9"/>
  <c r="S24" i="9"/>
  <c r="S38" i="9"/>
  <c r="S46" i="9"/>
  <c r="S26" i="9"/>
  <c r="S53" i="9"/>
  <c r="S16" i="9"/>
  <c r="S54" i="9"/>
  <c r="S17" i="9"/>
  <c r="S55" i="9"/>
  <c r="S15" i="9"/>
  <c r="D58" i="6"/>
  <c r="Q149" i="9"/>
  <c r="F35" i="7"/>
  <c r="H35" i="7"/>
  <c r="G35" i="7"/>
  <c r="E35" i="7"/>
  <c r="D35" i="7"/>
  <c r="I166" i="4"/>
  <c r="G166" i="4"/>
  <c r="E166" i="4"/>
  <c r="I158" i="4"/>
  <c r="G158" i="4"/>
  <c r="E158" i="4"/>
  <c r="E301" i="4"/>
  <c r="I410" i="4"/>
  <c r="G410" i="4"/>
  <c r="E410" i="4"/>
  <c r="I172" i="4"/>
  <c r="G172" i="4"/>
  <c r="E172" i="4"/>
  <c r="I21" i="4"/>
  <c r="G445" i="4"/>
  <c r="I445" i="4" s="1"/>
  <c r="I69" i="4"/>
  <c r="G69" i="4"/>
  <c r="E69" i="4"/>
  <c r="E58" i="4"/>
  <c r="G58" i="4"/>
  <c r="I43" i="4"/>
  <c r="G43" i="4"/>
  <c r="E43" i="4"/>
  <c r="I76" i="4"/>
  <c r="G76" i="4"/>
  <c r="I71" i="4" s="1"/>
  <c r="E76" i="4"/>
  <c r="I39" i="4"/>
  <c r="G39" i="4"/>
  <c r="E39" i="4"/>
  <c r="G122" i="4"/>
  <c r="I122" i="4"/>
  <c r="E122" i="4"/>
  <c r="E14" i="4"/>
  <c r="E21" i="4"/>
  <c r="E445" i="4"/>
  <c r="G436" i="4"/>
  <c r="I436" i="4" s="1"/>
  <c r="E436" i="4"/>
  <c r="I431" i="4"/>
  <c r="G431" i="4"/>
  <c r="E431" i="4"/>
  <c r="I418" i="4"/>
  <c r="G418" i="4"/>
  <c r="E418" i="4"/>
  <c r="I387" i="4"/>
  <c r="G387" i="4"/>
  <c r="E387" i="4"/>
  <c r="I372" i="4"/>
  <c r="G372" i="4"/>
  <c r="E372" i="4"/>
  <c r="I347" i="4"/>
  <c r="G347" i="4"/>
  <c r="E347" i="4"/>
  <c r="E287" i="4"/>
  <c r="G287" i="4"/>
  <c r="I287" i="4" s="1"/>
  <c r="I280" i="4"/>
  <c r="G280" i="4"/>
  <c r="E280" i="4"/>
  <c r="I214" i="4"/>
  <c r="G214" i="4"/>
  <c r="E214" i="4"/>
  <c r="I28" i="4"/>
  <c r="G28" i="4"/>
  <c r="I23" i="4" s="1"/>
  <c r="E28" i="4"/>
  <c r="I149" i="4"/>
  <c r="G149" i="4"/>
  <c r="E149" i="4"/>
  <c r="I141" i="4"/>
  <c r="G141" i="4"/>
  <c r="E141" i="4"/>
  <c r="E130" i="4"/>
  <c r="I130" i="4"/>
  <c r="G130" i="4"/>
  <c r="I107" i="4"/>
  <c r="G107" i="4"/>
  <c r="E107" i="4"/>
  <c r="I113" i="4"/>
  <c r="G113" i="4"/>
  <c r="E113" i="4"/>
  <c r="I97" i="4"/>
  <c r="G97" i="4"/>
  <c r="E97" i="4"/>
  <c r="G91" i="4"/>
  <c r="I91" i="4" s="1"/>
  <c r="E91" i="4"/>
  <c r="I84" i="4"/>
  <c r="G84" i="4"/>
  <c r="E84" i="4"/>
  <c r="G21" i="4"/>
  <c r="I14" i="4"/>
  <c r="G14" i="4"/>
  <c r="D88" i="6"/>
  <c r="F54" i="6"/>
  <c r="D89" i="6"/>
  <c r="D90" i="6"/>
  <c r="D91" i="6"/>
  <c r="D87" i="6"/>
  <c r="D54" i="6" l="1"/>
  <c r="D66" i="6" s="1"/>
  <c r="F66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16" authorId="0" shapeId="0" xr:uid="{6A2FCDBD-4B8E-4CCD-A5FA-A794EADC2C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Proffessional repaint</t>
        </r>
      </text>
    </comment>
    <comment ref="O16" authorId="0" shapeId="0" xr:uid="{CF8CA51E-B36B-409B-9179-3F5BFC469772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Repaint with epoxy and 2part PU</t>
        </r>
      </text>
    </comment>
    <comment ref="M17" authorId="0" shapeId="0" xr:uid="{004C8C47-44E6-455C-9ABA-3C2B1B59B98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Professional job</t>
        </r>
      </text>
    </comment>
    <comment ref="N17" authorId="0" shapeId="0" xr:uid="{1C5BA78F-AE88-4FF5-8589-8901140EE5A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with pro grade antislip paint
</t>
        </r>
      </text>
    </comment>
    <comment ref="O17" authorId="0" shapeId="0" xr:uid="{36D56261-1EFE-47C1-A0FA-F3355BEF5CE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 sand and paint</t>
        </r>
      </text>
    </comment>
    <comment ref="M18" authorId="0" shapeId="0" xr:uid="{66347628-100E-4B3E-B03E-C952FB89E85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Complete osmosis treatment</t>
        </r>
      </text>
    </comment>
    <comment ref="N18" authorId="0" shapeId="0" xr:uid="{FA5CB796-2B6C-4EF6-8336-739305B6FA0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Stripping paint and sealing</t>
        </r>
      </text>
    </comment>
    <comment ref="O18" authorId="0" shapeId="0" xr:uid="{5CC9B38C-8BB6-4931-88D0-2E0F429B7B5C}">
      <text>
        <r>
          <rPr>
            <b/>
            <sz val="9"/>
            <color indexed="81"/>
            <rFont val="Tahoma"/>
            <family val="2"/>
          </rPr>
          <t>Jiri Kudrna:
DIY stripping, barrier coat (no antifouling)</t>
        </r>
      </text>
    </comment>
    <comment ref="M19" authorId="0" shapeId="0" xr:uid="{AA1CB808-049C-48CB-A58E-2A90132047E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19" authorId="0" shapeId="0" xr:uid="{6A5544BA-9883-4154-BC74-4A45AD8A90E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19" authorId="0" shapeId="0" xr:uid="{B01E6EFE-0BB5-4CBA-9B26-AFAE8630A45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21" authorId="0" shapeId="0" xr:uid="{BE2A26E4-0D0F-4CBA-AD9F-F190BD395A6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Marelon</t>
        </r>
      </text>
    </comment>
    <comment ref="N21" authorId="0" shapeId="0" xr:uid="{EB145570-9205-46FD-8F61-E24F7F0D94F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Groko bronze, DIY</t>
        </r>
      </text>
    </comment>
    <comment ref="O21" authorId="0" shapeId="0" xr:uid="{8737FAFE-29F8-4DAF-9547-A1A645311A1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Marelon, DIY</t>
        </r>
      </text>
    </comment>
    <comment ref="M25" authorId="0" shapeId="0" xr:uid="{F6E10FAC-0670-44FC-AD7B-0F390DA1F81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contractor</t>
        </r>
      </text>
    </comment>
    <comment ref="N25" authorId="0" shapeId="0" xr:uid="{4378AD8A-3132-46D0-9AA8-1F7DCA4DD62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DIY</t>
        </r>
      </text>
    </comment>
    <comment ref="O25" authorId="0" shapeId="0" xr:uid="{03B19066-D0DE-4FAA-9CBF-4AA7666555B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removal, paint, anti-slip, DIY, cheaper material</t>
        </r>
      </text>
    </comment>
    <comment ref="M28" authorId="0" shapeId="0" xr:uid="{883EC4FF-50C8-48C1-BDB7-78BCC46EBECD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contractor, material</t>
        </r>
      </text>
    </comment>
    <comment ref="N28" authorId="0" shapeId="0" xr:uid="{59A6DB2C-A908-4FC4-AD08-313C2D122F0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 only</t>
        </r>
      </text>
    </comment>
    <comment ref="O28" authorId="0" shapeId="0" xr:uid="{EB32E411-E3F0-4EBC-B0E6-6B6E3A248B73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lifelines only</t>
        </r>
      </text>
    </comment>
    <comment ref="M29" authorId="0" shapeId="0" xr:uid="{F3878CBD-E626-4EB5-85F0-F29FC49D2A1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</t>
        </r>
      </text>
    </comment>
    <comment ref="N29" authorId="0" shapeId="0" xr:uid="{E6491A7D-84A1-4603-868F-1713164C247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all hatches, cheaper variant</t>
        </r>
      </text>
    </comment>
    <comment ref="M35" authorId="0" shapeId="0" xr:uid="{66C0D2D6-02BC-4811-8DE5-7758F5EF0AF8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pro made</t>
        </r>
      </text>
    </comment>
    <comment ref="N35" authorId="0" shapeId="0" xr:uid="{F97AF6F8-3BCF-4E83-9F54-DEE186D260AE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sunbrella</t>
        </r>
      </text>
    </comment>
    <comment ref="O35" authorId="0" shapeId="0" xr:uid="{849F18A4-4A12-4FC6-8389-F03EB45F86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DIY, cheaper fabric</t>
        </r>
      </text>
    </comment>
    <comment ref="O43" authorId="0" shapeId="0" xr:uid="{16F44909-6B13-4746-BB24-6FC3E33DA72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58" authorId="0" shapeId="0" xr:uid="{9DFF7BDA-34FB-4186-A18D-19A1F57F5C0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repower in florida</t>
        </r>
      </text>
    </comment>
    <comment ref="N58" authorId="0" shapeId="0" xr:uid="{3EC24ACD-A907-4BCB-9BE0-A1D6DC795C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new engine, self install</t>
        </r>
      </text>
    </comment>
    <comment ref="O58" authorId="0" shapeId="0" xr:uid="{92BA62C0-23F3-4CFB-A3D9-3A0B382857D6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overhaul in mexico</t>
        </r>
      </text>
    </comment>
    <comment ref="M60" authorId="0" shapeId="0" xr:uid="{6A2ADAD9-7A81-4D6E-8A26-DC08F60E1260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material</t>
        </r>
      </text>
    </comment>
    <comment ref="N60" authorId="0" shapeId="0" xr:uid="{03C3CD76-37C0-4B1B-B3B1-FB099889E30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material</t>
        </r>
      </text>
    </comment>
    <comment ref="M61" authorId="0" shapeId="0" xr:uid="{6CD55A43-68E0-4988-B878-744F01FE30A9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Maxprop</t>
        </r>
      </text>
    </comment>
    <comment ref="N61" authorId="0" shapeId="0" xr:uid="{4E4EAB3A-D30E-47A8-A442-FDF7DE899767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Bronze prop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Jiri Kudrna</author>
  </authors>
  <commentList>
    <comment ref="M60" authorId="0" shapeId="0" xr:uid="{9DC00CCE-6161-4C1D-90EF-3AA94820D44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60" authorId="0" shapeId="0" xr:uid="{EFEDE2F5-408B-48EA-8E71-B3ED1327D99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60" authorId="0" shapeId="0" xr:uid="{21521AC5-4E3E-4AE8-9645-F5502B410C4F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62" authorId="0" shapeId="0" xr:uid="{510DBE2D-3D57-40B1-AE8A-86C86D52ABCC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62" authorId="0" shapeId="0" xr:uid="{02720721-031E-42B7-8B18-6052C1D0ADBB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62" authorId="0" shapeId="0" xr:uid="{4644AE2B-20FA-4B40-8BEF-78BD738B3581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M71" authorId="0" shapeId="0" xr:uid="{3098623F-60C5-40E8-81FD-4AF55C5DC6A5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contractor + paint</t>
        </r>
      </text>
    </comment>
    <comment ref="N71" authorId="0" shapeId="0" xr:uid="{58FE80CF-67E6-4128-821D-A2BEA9D378E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  <comment ref="O71" authorId="0" shapeId="0" xr:uid="{E05AC851-A332-4A2B-BF3F-4E0007EAAAFA}">
      <text>
        <r>
          <rPr>
            <b/>
            <sz val="9"/>
            <color indexed="81"/>
            <rFont val="Tahoma"/>
            <family val="2"/>
          </rPr>
          <t>Jiri Kudrna:</t>
        </r>
        <r>
          <rPr>
            <sz val="9"/>
            <color indexed="81"/>
            <rFont val="Tahoma"/>
            <family val="2"/>
          </rPr>
          <t xml:space="preserve">
DIY</t>
        </r>
      </text>
    </comment>
  </commentList>
</comments>
</file>

<file path=xl/sharedStrings.xml><?xml version="1.0" encoding="utf-8"?>
<sst xmlns="http://schemas.openxmlformats.org/spreadsheetml/2006/main" count="1303" uniqueCount="736">
  <si>
    <t>Navigation</t>
  </si>
  <si>
    <t>Galley</t>
  </si>
  <si>
    <t>Fridge</t>
  </si>
  <si>
    <t>Freezer</t>
  </si>
  <si>
    <t>Windlass</t>
  </si>
  <si>
    <t>Starlink</t>
  </si>
  <si>
    <t>Fans</t>
  </si>
  <si>
    <t>Microwave</t>
  </si>
  <si>
    <t>Navigation Computer</t>
  </si>
  <si>
    <t>Wind Generator</t>
  </si>
  <si>
    <t>X</t>
  </si>
  <si>
    <t>100W Flex 18.7V/5.3A</t>
  </si>
  <si>
    <t>Victron SmartSolar 100/30</t>
  </si>
  <si>
    <t>Victron SmartSolar 100/50</t>
  </si>
  <si>
    <t>12 AWG Wire 500ft</t>
  </si>
  <si>
    <t>10 AWG Wire 100ft</t>
  </si>
  <si>
    <t>Misc Installation Material</t>
  </si>
  <si>
    <t>Lines/Webbing</t>
  </si>
  <si>
    <t>Grommets/Fasteners</t>
  </si>
  <si>
    <t>Fabric</t>
  </si>
  <si>
    <t>Wire, lugs, busbars</t>
  </si>
  <si>
    <t>Battery switches</t>
  </si>
  <si>
    <t>Balmer 170A/Regulator</t>
  </si>
  <si>
    <t>DC/DC To/From Engine Battery</t>
  </si>
  <si>
    <t>Installation Material, fuses</t>
  </si>
  <si>
    <t>Device</t>
  </si>
  <si>
    <t>2 Big Monitors</t>
  </si>
  <si>
    <t>12V Power Supply, installation</t>
  </si>
  <si>
    <t>Batteries, based on LiTime</t>
  </si>
  <si>
    <t>Sales Tax</t>
  </si>
  <si>
    <t>Shipping Average %</t>
  </si>
  <si>
    <t>Drill</t>
  </si>
  <si>
    <t>Impact Drill</t>
  </si>
  <si>
    <t>Power Tools</t>
  </si>
  <si>
    <t>Sander</t>
  </si>
  <si>
    <t>Oscillating Multitool</t>
  </si>
  <si>
    <t>Jigsaw</t>
  </si>
  <si>
    <t>Rotary Tool</t>
  </si>
  <si>
    <t>Heatgun</t>
  </si>
  <si>
    <t>Crimptool Electric Cables</t>
  </si>
  <si>
    <t>Crimptool Battery Cable Lugs</t>
  </si>
  <si>
    <t>Crimptool For MC4 Plugs</t>
  </si>
  <si>
    <t>Angle Grinder</t>
  </si>
  <si>
    <t>12V Fuel Transfer Pump/Filter Box DIY</t>
  </si>
  <si>
    <t>Battery</t>
  </si>
  <si>
    <t>12V Water Transfer Pump Box DIY</t>
  </si>
  <si>
    <t>12V Air Pump (Dinghy)</t>
  </si>
  <si>
    <t>Floodlight/Work Light</t>
  </si>
  <si>
    <t>12V Waterproof Searchlight</t>
  </si>
  <si>
    <t>Vehicle Charger</t>
  </si>
  <si>
    <t>AC Charger</t>
  </si>
  <si>
    <t>M18 Battery 2-3Ah 18V</t>
  </si>
  <si>
    <t>M18 Battery 4-5Ah 18V</t>
  </si>
  <si>
    <t>M18 Battery 6Ah 18V</t>
  </si>
  <si>
    <t>M18 to 12V DC/DC</t>
  </si>
  <si>
    <t>Battery Adabler M18 to Ryobi</t>
  </si>
  <si>
    <t>Barracuda 200ZW Sewing Machine</t>
  </si>
  <si>
    <t>Sewing Material</t>
  </si>
  <si>
    <t>Consumables</t>
  </si>
  <si>
    <t>M18 To 12V DC/DC Box DIY</t>
  </si>
  <si>
    <t>Cordless Batteries/Charging/Adapting</t>
  </si>
  <si>
    <t>Soldgering Station</t>
  </si>
  <si>
    <t>Vacuum Wet/Dry</t>
  </si>
  <si>
    <t>Glue Gun</t>
  </si>
  <si>
    <t>Fiberglass</t>
  </si>
  <si>
    <t>Sandpaper</t>
  </si>
  <si>
    <t>Grease</t>
  </si>
  <si>
    <t>Sealants Sika/3M</t>
  </si>
  <si>
    <t>Cableties</t>
  </si>
  <si>
    <t>Tapes</t>
  </si>
  <si>
    <t>Shrinking Tubes</t>
  </si>
  <si>
    <t>Soldgering Led / Accessories</t>
  </si>
  <si>
    <t>Glues / Gluegun Sticks</t>
  </si>
  <si>
    <t>Hoseclamps</t>
  </si>
  <si>
    <t>Plumbing parts</t>
  </si>
  <si>
    <t>Wipping Twine</t>
  </si>
  <si>
    <t>All sorts of elecrical parts</t>
  </si>
  <si>
    <t>Alcohol, Acetone, Thinner</t>
  </si>
  <si>
    <t>Cleaning Supplies</t>
  </si>
  <si>
    <t>Batteries AA, AAA, 9V, etc</t>
  </si>
  <si>
    <t>Lubrication Sprays (WD40, Silicon Spray, etc)</t>
  </si>
  <si>
    <t>Oil Extraction Pump</t>
  </si>
  <si>
    <t>Electrical Multimeter</t>
  </si>
  <si>
    <t>Electrical Connectors (Crimp), wire ends</t>
  </si>
  <si>
    <t>Clamps</t>
  </si>
  <si>
    <t>Sail Repair Kit</t>
  </si>
  <si>
    <t>Spray Paint</t>
  </si>
  <si>
    <t>Hand Sewing Kit</t>
  </si>
  <si>
    <t>Googles, Gloves, Earplugs, Masks</t>
  </si>
  <si>
    <t>Underwater Epoxy</t>
  </si>
  <si>
    <t>Acid (For stainless cleaning)</t>
  </si>
  <si>
    <t>Oil/Fuelfilter Wrench</t>
  </si>
  <si>
    <t>Epoxy, Fillers, Cups, Mixing Sticks, etc.</t>
  </si>
  <si>
    <t>Polysester Resin</t>
  </si>
  <si>
    <t>Brushes</t>
  </si>
  <si>
    <t>Drill Bits</t>
  </si>
  <si>
    <t>Grease Gun</t>
  </si>
  <si>
    <t>Pry bars</t>
  </si>
  <si>
    <t>Blanking plugs</t>
  </si>
  <si>
    <t>Label maker</t>
  </si>
  <si>
    <t>Assorted repair/emergency manuals as paperbacks</t>
  </si>
  <si>
    <t>Dry Cabinet</t>
  </si>
  <si>
    <t>Optimal</t>
  </si>
  <si>
    <t>Economical</t>
  </si>
  <si>
    <t>Fabric For Small Sewing Projects</t>
  </si>
  <si>
    <t>Mechanical Tools</t>
  </si>
  <si>
    <t>Utility Knife, Blades</t>
  </si>
  <si>
    <t>Misc Tools</t>
  </si>
  <si>
    <t>Caulk Gun</t>
  </si>
  <si>
    <t>Soldgering Iron AC</t>
  </si>
  <si>
    <t>Screwdrivers set</t>
  </si>
  <si>
    <t>Heavy Duty Mechanical Tools</t>
  </si>
  <si>
    <t>Water pump pliers</t>
  </si>
  <si>
    <t>Wire stripper</t>
  </si>
  <si>
    <t>Rubber mallet</t>
  </si>
  <si>
    <t>Hacksaw/blades</t>
  </si>
  <si>
    <t>Pipe wrench</t>
  </si>
  <si>
    <t>Feeler Gauge (metric and imperial)</t>
  </si>
  <si>
    <t>Belt Tension Gauge</t>
  </si>
  <si>
    <t>Tap and die set (metric and imperial)</t>
  </si>
  <si>
    <t>Tool boxes</t>
  </si>
  <si>
    <t>Measurement Tools</t>
  </si>
  <si>
    <t>Tape measurer</t>
  </si>
  <si>
    <t>Calipers</t>
  </si>
  <si>
    <t>Micrometer</t>
  </si>
  <si>
    <t>Torx keys</t>
  </si>
  <si>
    <t>Endoscope/Boresope</t>
  </si>
  <si>
    <t>Level</t>
  </si>
  <si>
    <t>Ruler</t>
  </si>
  <si>
    <t>Protractor</t>
  </si>
  <si>
    <t>Wire cutters</t>
  </si>
  <si>
    <t>Screwdriver bits</t>
  </si>
  <si>
    <t>Powertools Accessories</t>
  </si>
  <si>
    <t>Multitool Blades</t>
  </si>
  <si>
    <t>Hole saw</t>
  </si>
  <si>
    <t>Rotary tool bits</t>
  </si>
  <si>
    <t>Orbital sander discs</t>
  </si>
  <si>
    <t>Jigsaw blades</t>
  </si>
  <si>
    <t>Grinder disks</t>
  </si>
  <si>
    <t>Temperature meter</t>
  </si>
  <si>
    <t>DC Clamp meter</t>
  </si>
  <si>
    <t>Countersink bits</t>
  </si>
  <si>
    <t>Mirror on stick</t>
  </si>
  <si>
    <t>Magnet on stick</t>
  </si>
  <si>
    <t>Offset Marking Gauge</t>
  </si>
  <si>
    <t>Pinless moisture meter (cheap)</t>
  </si>
  <si>
    <t>Bench wise</t>
  </si>
  <si>
    <t>Bolt cutters</t>
  </si>
  <si>
    <t>Paint Brushes</t>
  </si>
  <si>
    <t>Wrenches set (Metric and SAE)</t>
  </si>
  <si>
    <t>Sockets set (metric and SAE)</t>
  </si>
  <si>
    <t>Allen/Hex keys (Metric and SAE)</t>
  </si>
  <si>
    <t>Adjustable Wrenches Set</t>
  </si>
  <si>
    <t>Drive Sliding Wrench Breaker Bar T-Handle set</t>
  </si>
  <si>
    <t>Impact driver bits set</t>
  </si>
  <si>
    <t>Impact driver socket adapters</t>
  </si>
  <si>
    <t>Vise grip pliers set</t>
  </si>
  <si>
    <t>Combination pliers, Needle nose pliers set</t>
  </si>
  <si>
    <t>Hammers set</t>
  </si>
  <si>
    <t>Hammer/Axe</t>
  </si>
  <si>
    <t>Torque Wrench set</t>
  </si>
  <si>
    <t>Gear/Impeller puller</t>
  </si>
  <si>
    <t>Deck Tools</t>
  </si>
  <si>
    <t>Bucket</t>
  </si>
  <si>
    <t>Throw bucket</t>
  </si>
  <si>
    <t>Sponges</t>
  </si>
  <si>
    <t>Sanding Board</t>
  </si>
  <si>
    <t>Assorted wire</t>
  </si>
  <si>
    <t>Spare Fuses, Emergency Fuses</t>
  </si>
  <si>
    <t>Dinghy Accessories</t>
  </si>
  <si>
    <t>Set of oars</t>
  </si>
  <si>
    <t>Depth sounder kit</t>
  </si>
  <si>
    <t>Rigging Spares</t>
  </si>
  <si>
    <t>Blocks</t>
  </si>
  <si>
    <t>Spare halyard</t>
  </si>
  <si>
    <t>Spare sheets</t>
  </si>
  <si>
    <t>Spare winch handle</t>
  </si>
  <si>
    <t>Sail cloth</t>
  </si>
  <si>
    <t>Thimbles</t>
  </si>
  <si>
    <t>General spare lines</t>
  </si>
  <si>
    <t>Corrosion inhibiter (Tef-Gel or similar)</t>
  </si>
  <si>
    <t>Quick settle epoxies, plastic metal</t>
  </si>
  <si>
    <t>Dinghy anchor and rode</t>
  </si>
  <si>
    <t>Bosum chair / safety harness</t>
  </si>
  <si>
    <t>Rivet tool</t>
  </si>
  <si>
    <t>Assorted O-Rings</t>
  </si>
  <si>
    <t>Eye bolts / eye nuts</t>
  </si>
  <si>
    <t>Assorted tapping screws</t>
  </si>
  <si>
    <t>Assorted bolts/nuts/washers</t>
  </si>
  <si>
    <t>Assorted grub-screws</t>
  </si>
  <si>
    <t>Assorted rivets (alloy and monel)</t>
  </si>
  <si>
    <t>Assorted threaded rods</t>
  </si>
  <si>
    <t>Mechanical Spares</t>
  </si>
  <si>
    <t>Assorted Rope/Line 1-6mm</t>
  </si>
  <si>
    <t>Electrical Installation Tools</t>
  </si>
  <si>
    <t>Vacuum sealer</t>
  </si>
  <si>
    <t>Vacuum storage bags</t>
  </si>
  <si>
    <t>Vacuum sealer bags/roll</t>
  </si>
  <si>
    <t>Paints/Primer/Warnish</t>
  </si>
  <si>
    <t>Electric Installation Spares</t>
  </si>
  <si>
    <t>Tweezers</t>
  </si>
  <si>
    <t>Emergency Gasket Material</t>
  </si>
  <si>
    <t>Spray adhesive</t>
  </si>
  <si>
    <t>Sail repair tape</t>
  </si>
  <si>
    <t>Spare Blocks</t>
  </si>
  <si>
    <t>Spare Shackles</t>
  </si>
  <si>
    <t>Spare Hooks</t>
  </si>
  <si>
    <t>Spare carabiners</t>
  </si>
  <si>
    <t>Low Friction rings</t>
  </si>
  <si>
    <t>Soft shackles (DIY)</t>
  </si>
  <si>
    <t>Spare dyneema line</t>
  </si>
  <si>
    <t>Hollow splicing fid</t>
  </si>
  <si>
    <t>Split/cotter pins and cotter rings</t>
  </si>
  <si>
    <t>Seizing wire</t>
  </si>
  <si>
    <t>Installation</t>
  </si>
  <si>
    <t>High Output Alternator</t>
  </si>
  <si>
    <t>Inverter/Charger (3kW/120A or 2kW/80A)</t>
  </si>
  <si>
    <t>Victron Inverter/Charger</t>
  </si>
  <si>
    <t>2kW</t>
  </si>
  <si>
    <t>3kW/120A</t>
  </si>
  <si>
    <t>2kW/80A</t>
  </si>
  <si>
    <t>Sunbrella marine fabric</t>
  </si>
  <si>
    <t>Cheaper marine fabric</t>
  </si>
  <si>
    <t>Mostly Ryobi (but Milwaukee batteries)</t>
  </si>
  <si>
    <t>4x</t>
  </si>
  <si>
    <t>2x</t>
  </si>
  <si>
    <t>3x</t>
  </si>
  <si>
    <t>0x</t>
  </si>
  <si>
    <t>M18 To USB Charger</t>
  </si>
  <si>
    <t>Isolation Transformer</t>
  </si>
  <si>
    <t>3.6kW</t>
  </si>
  <si>
    <t>80l ish</t>
  </si>
  <si>
    <t>50l ish</t>
  </si>
  <si>
    <t>Mostly Milwaukee cordless</t>
  </si>
  <si>
    <t>DIY Tool Projects</t>
  </si>
  <si>
    <t>Cables and wall-plugs 12V using industrial plugs</t>
  </si>
  <si>
    <t>Sewing Kit</t>
  </si>
  <si>
    <t>Tools</t>
  </si>
  <si>
    <t>Shore power box, fuse</t>
  </si>
  <si>
    <t>Shore power cable 30A</t>
  </si>
  <si>
    <t>Installation Material, fuses, switches, sockets</t>
  </si>
  <si>
    <t>Repair/Maintenance/Cleaning Spares And Consumables</t>
  </si>
  <si>
    <t xml:space="preserve">Dry Cabinet </t>
  </si>
  <si>
    <t>Alloy arch, price approx</t>
  </si>
  <si>
    <t>Installation material, blocks, line</t>
  </si>
  <si>
    <t>Shipping (additional)</t>
  </si>
  <si>
    <t>Frame</t>
  </si>
  <si>
    <t>Solar pannel mounting material</t>
  </si>
  <si>
    <t>Installation material, hardware</t>
  </si>
  <si>
    <t>Bimini (DIY)</t>
  </si>
  <si>
    <t>Dodger (DIY)</t>
  </si>
  <si>
    <t>Anchoring System</t>
  </si>
  <si>
    <t>Anchor</t>
  </si>
  <si>
    <t>Viking 15</t>
  </si>
  <si>
    <t>Mantus M1 45lbs</t>
  </si>
  <si>
    <t>Anchor chain</t>
  </si>
  <si>
    <t>Swivel</t>
  </si>
  <si>
    <t>Kong</t>
  </si>
  <si>
    <t>Rated shakle</t>
  </si>
  <si>
    <t>Nylon rode</t>
  </si>
  <si>
    <t>150ft 8-plait</t>
  </si>
  <si>
    <t>150ft 3 strand</t>
  </si>
  <si>
    <t>Bridle (line, hardware)</t>
  </si>
  <si>
    <t>Anchor hook</t>
  </si>
  <si>
    <t>Lofrans Tigres (binnacle.com)</t>
  </si>
  <si>
    <t>DC/DC charger</t>
  </si>
  <si>
    <t>Cockpit switch incl installation</t>
  </si>
  <si>
    <t>150ft 3/8 Grade 43 BBB</t>
  </si>
  <si>
    <t>two-way 150A</t>
  </si>
  <si>
    <t>100Ah LifePo4</t>
  </si>
  <si>
    <t>Selenoid, switches, wires, lugs</t>
  </si>
  <si>
    <t>100Ah Deep-Cycle Lead-Acid</t>
  </si>
  <si>
    <t>30A Smart charger</t>
  </si>
  <si>
    <t>cables, breaker, installation material</t>
  </si>
  <si>
    <t>ANCHORING</t>
  </si>
  <si>
    <t>DECK INSTALLATIONS</t>
  </si>
  <si>
    <t>MACHINERY</t>
  </si>
  <si>
    <t>ELECTRICS</t>
  </si>
  <si>
    <t>TOOLS</t>
  </si>
  <si>
    <t>SPARE PARTS / CONSUMABLES</t>
  </si>
  <si>
    <t>DINGHY</t>
  </si>
  <si>
    <t>PROJECTS</t>
  </si>
  <si>
    <t>LiTime 230Ah, 11kWh, 800A</t>
  </si>
  <si>
    <t>DIY, 10kWh, 600A</t>
  </si>
  <si>
    <t>atlantictowers.com</t>
  </si>
  <si>
    <t>Solar Arch And Davits</t>
  </si>
  <si>
    <t>Awning (DIY)</t>
  </si>
  <si>
    <t>Dighy</t>
  </si>
  <si>
    <t>Dinghy</t>
  </si>
  <si>
    <t>Aluminum floor, 9ft, Hypalon</t>
  </si>
  <si>
    <t>Aluminum floor, 9ft, PVC</t>
  </si>
  <si>
    <t>Engine tools / repair kit</t>
  </si>
  <si>
    <t>Engine</t>
  </si>
  <si>
    <t>6HP Gasoline</t>
  </si>
  <si>
    <t>10HP Gasoline</t>
  </si>
  <si>
    <t>Launch Wheels</t>
  </si>
  <si>
    <t>Engine / Tank</t>
  </si>
  <si>
    <t>Outboard Spare Parts</t>
  </si>
  <si>
    <t>Propeller</t>
  </si>
  <si>
    <t>Safety lock engine and dinghy</t>
  </si>
  <si>
    <t>DIY elevated floor and storage box</t>
  </si>
  <si>
    <t>Essential</t>
  </si>
  <si>
    <t>Dedicated battery (separate item)</t>
  </si>
  <si>
    <t>Foot pump (backup, electric is separate item)</t>
  </si>
  <si>
    <t>Engine/ Drive Train Spare Parts</t>
  </si>
  <si>
    <t>Oil filters x5</t>
  </si>
  <si>
    <t>Engine oil 20l</t>
  </si>
  <si>
    <t>Alternator belts</t>
  </si>
  <si>
    <t>Full set of engine hoses</t>
  </si>
  <si>
    <t>Water Pump impellers x3</t>
  </si>
  <si>
    <t>Engine zincs x5</t>
  </si>
  <si>
    <t xml:space="preserve">Drive Belt </t>
  </si>
  <si>
    <t>Starter motor</t>
  </si>
  <si>
    <t>Fuel pump</t>
  </si>
  <si>
    <t>Raw water pump</t>
  </si>
  <si>
    <t>Heat exchanger</t>
  </si>
  <si>
    <t>Gasket set</t>
  </si>
  <si>
    <t>Thermostat</t>
  </si>
  <si>
    <t>Oil pressure sensor</t>
  </si>
  <si>
    <t>Propeller zincs x2</t>
  </si>
  <si>
    <t>Cutlass bearing</t>
  </si>
  <si>
    <t>Shaft seal</t>
  </si>
  <si>
    <t>Transmission fluid 4l</t>
  </si>
  <si>
    <t>Spare propeller</t>
  </si>
  <si>
    <t>Full set of hose clamps x2</t>
  </si>
  <si>
    <t>Fuel filters pre-filter x5</t>
  </si>
  <si>
    <t>Fuel filters engine x5</t>
  </si>
  <si>
    <t>Impeller</t>
  </si>
  <si>
    <t xml:space="preserve">Spark Plugs x2 </t>
  </si>
  <si>
    <t>Oil Filter x3</t>
  </si>
  <si>
    <t>Fuel Filter x3</t>
  </si>
  <si>
    <t>Anodes Kit x3</t>
  </si>
  <si>
    <t>Prop Nut and Cotter Pin</t>
  </si>
  <si>
    <t>Fuel Pump Diaphragm</t>
  </si>
  <si>
    <t>Carburetor Repair Kit</t>
  </si>
  <si>
    <t>Inflatable Repair Kit</t>
  </si>
  <si>
    <t>Water Pump Repair Kit</t>
  </si>
  <si>
    <t>Seal Kits</t>
  </si>
  <si>
    <t>75ft 3/8 Grade 43 BBB</t>
  </si>
  <si>
    <t>Cheaper one</t>
  </si>
  <si>
    <t>300ft 3 strand</t>
  </si>
  <si>
    <t>Soft floor, 8ft, PVC</t>
  </si>
  <si>
    <t>5HP Gasoline cheapest</t>
  </si>
  <si>
    <t xml:space="preserve">250W Rigid 18.9V/13.2A </t>
  </si>
  <si>
    <t>x3</t>
  </si>
  <si>
    <t>x4</t>
  </si>
  <si>
    <t>x8</t>
  </si>
  <si>
    <t>x1</t>
  </si>
  <si>
    <t>x2</t>
  </si>
  <si>
    <t>Solar Panels Arch/Bimini 1150W</t>
  </si>
  <si>
    <t>Connectors</t>
  </si>
  <si>
    <t>Connector collection box</t>
  </si>
  <si>
    <t>Solar Panels Awning 2x400W Removable/Foldable</t>
  </si>
  <si>
    <t>Smaller product</t>
  </si>
  <si>
    <t>one-way 100A</t>
  </si>
  <si>
    <t>Power wires from main battery / installation</t>
  </si>
  <si>
    <t>Windlass Power</t>
  </si>
  <si>
    <t>None</t>
  </si>
  <si>
    <t>1/0 AWG wire from house bank</t>
  </si>
  <si>
    <t>Standing Rigging</t>
  </si>
  <si>
    <t>Running Rigging</t>
  </si>
  <si>
    <t>Sails</t>
  </si>
  <si>
    <t>Forestay</t>
  </si>
  <si>
    <t>Backstay</t>
  </si>
  <si>
    <t>Cap shrouds</t>
  </si>
  <si>
    <t>Lower shrouds</t>
  </si>
  <si>
    <t>Intermediate shrouds</t>
  </si>
  <si>
    <t>Roller Furler</t>
  </si>
  <si>
    <t>Chainplates</t>
  </si>
  <si>
    <t>Beefed up offshore version</t>
  </si>
  <si>
    <t>Standard version</t>
  </si>
  <si>
    <t>Only replace necessary ones</t>
  </si>
  <si>
    <t>Mainsail Halyard: 20 meters</t>
  </si>
  <si>
    <t>Jib Halyard: 25 meters</t>
  </si>
  <si>
    <t>Main Sheet: 30 meters</t>
  </si>
  <si>
    <t>Jib Sheets: 2 x 20 meters</t>
  </si>
  <si>
    <t>Jib Furler Line: 15 meters</t>
  </si>
  <si>
    <t>Spinnaker Halyard: 35 meters</t>
  </si>
  <si>
    <t>Topping Lift: 20 meters</t>
  </si>
  <si>
    <t>Reef lines (2): 2 x 15 meters</t>
  </si>
  <si>
    <t>Outhaul line: 10 meters</t>
  </si>
  <si>
    <t>Cunningham: 5 meters</t>
  </si>
  <si>
    <t>Boom vang line: 15 meters</t>
  </si>
  <si>
    <t>Traveler lines: 2 x 5 meters</t>
  </si>
  <si>
    <t>based on 7 USD per meter</t>
  </si>
  <si>
    <t>based on 5 USD per meter</t>
  </si>
  <si>
    <t>RIGGING And Sails (Based on 40ft Hunter Legend)</t>
  </si>
  <si>
    <t>Main sheet blocks x4</t>
  </si>
  <si>
    <t>Jib sheet blocks x2</t>
  </si>
  <si>
    <t>Jib Furling blocks x3</t>
  </si>
  <si>
    <t>Reef line blocks x4</t>
  </si>
  <si>
    <t>Outhaul block x1</t>
  </si>
  <si>
    <t>Boom vang blocks x2</t>
  </si>
  <si>
    <t>Cunningham blocks x2</t>
  </si>
  <si>
    <t>Traveler blocks x2</t>
  </si>
  <si>
    <t>$50 per block</t>
  </si>
  <si>
    <t>$40 per block</t>
  </si>
  <si>
    <t>Main</t>
  </si>
  <si>
    <t>Jib</t>
  </si>
  <si>
    <t>Genoa</t>
  </si>
  <si>
    <t>Spinnacker</t>
  </si>
  <si>
    <t>Underwater Hull</t>
  </si>
  <si>
    <t>Keel</t>
  </si>
  <si>
    <t>Through Hull Fittings and Seacocks</t>
  </si>
  <si>
    <t>Non-Skid Surfaces</t>
  </si>
  <si>
    <t>Transmission</t>
  </si>
  <si>
    <t>Engine Start Battery</t>
  </si>
  <si>
    <t>Engine Controls</t>
  </si>
  <si>
    <t>Engine Instruments</t>
  </si>
  <si>
    <t>Fuel Tanks</t>
  </si>
  <si>
    <t>Fuel System (Lines, Filters)</t>
  </si>
  <si>
    <t>Fresh Water Tanks</t>
  </si>
  <si>
    <t>Fresh Water System (Pump, Lines, Focets)</t>
  </si>
  <si>
    <t>Electrical Wiring</t>
  </si>
  <si>
    <t>Generator</t>
  </si>
  <si>
    <t>Engine Exhaust System</t>
  </si>
  <si>
    <t>Steering System</t>
  </si>
  <si>
    <t>Bow Thruster</t>
  </si>
  <si>
    <t>Mooring/Docking Lines</t>
  </si>
  <si>
    <t>Fenders</t>
  </si>
  <si>
    <t>Cockpit Upholstery</t>
  </si>
  <si>
    <t>Lifelines, Stanchions</t>
  </si>
  <si>
    <t>Hatches, Portlights</t>
  </si>
  <si>
    <t>Swim Platform</t>
  </si>
  <si>
    <t>Windwane</t>
  </si>
  <si>
    <t>Propane System</t>
  </si>
  <si>
    <t>Stove/Oven</t>
  </si>
  <si>
    <t>Galley Equipment</t>
  </si>
  <si>
    <t>Sink</t>
  </si>
  <si>
    <t>Rigging</t>
  </si>
  <si>
    <t>Deck</t>
  </si>
  <si>
    <t>Steering</t>
  </si>
  <si>
    <t>Rudder</t>
  </si>
  <si>
    <t>Propulsion</t>
  </si>
  <si>
    <t>Energy Management</t>
  </si>
  <si>
    <t>AC  Power System</t>
  </si>
  <si>
    <t>Electrical System</t>
  </si>
  <si>
    <t>DC Switchboard</t>
  </si>
  <si>
    <t>Diesel System</t>
  </si>
  <si>
    <t>Tank Monitoring</t>
  </si>
  <si>
    <t>Diesel Polishing</t>
  </si>
  <si>
    <t>Fresh Water System</t>
  </si>
  <si>
    <t>Below Deck</t>
  </si>
  <si>
    <t>Joinery</t>
  </si>
  <si>
    <t>Brightwork</t>
  </si>
  <si>
    <t>Structure</t>
  </si>
  <si>
    <t>Teak</t>
  </si>
  <si>
    <t>Floorboards</t>
  </si>
  <si>
    <t>Ceiling/Liners</t>
  </si>
  <si>
    <t>General</t>
  </si>
  <si>
    <t>Upholstery</t>
  </si>
  <si>
    <t>Autopilot</t>
  </si>
  <si>
    <t>VHF</t>
  </si>
  <si>
    <t>Radar</t>
  </si>
  <si>
    <t>AIS</t>
  </si>
  <si>
    <t>Heads</t>
  </si>
  <si>
    <t>Airconditioning</t>
  </si>
  <si>
    <t>Heater</t>
  </si>
  <si>
    <t>HVAC</t>
  </si>
  <si>
    <t>Ventilation</t>
  </si>
  <si>
    <t>Safety Gear</t>
  </si>
  <si>
    <t>Fire Extinguishers</t>
  </si>
  <si>
    <t>Liferaft</t>
  </si>
  <si>
    <t>Flares</t>
  </si>
  <si>
    <t>Bilge Pumps</t>
  </si>
  <si>
    <t>EPIRB</t>
  </si>
  <si>
    <t>Jacklines</t>
  </si>
  <si>
    <t>Tenders</t>
  </si>
  <si>
    <t>Winches</t>
  </si>
  <si>
    <t>Projects</t>
  </si>
  <si>
    <t>Economic</t>
  </si>
  <si>
    <t>Antifouling</t>
  </si>
  <si>
    <t>→</t>
  </si>
  <si>
    <t>Mast, Spreaders And Boom</t>
  </si>
  <si>
    <t>Stackpack/Lazy Jacks</t>
  </si>
  <si>
    <t>Designer</t>
  </si>
  <si>
    <t>Builder</t>
  </si>
  <si>
    <t>Model</t>
  </si>
  <si>
    <t>Year</t>
  </si>
  <si>
    <t>Performance</t>
  </si>
  <si>
    <t>Measurements</t>
  </si>
  <si>
    <t>SA/Disp</t>
  </si>
  <si>
    <t>Unknown</t>
  </si>
  <si>
    <t>Good</t>
  </si>
  <si>
    <t>Repair</t>
  </si>
  <si>
    <t>Dispose</t>
  </si>
  <si>
    <t>Davits</t>
  </si>
  <si>
    <t>💡</t>
  </si>
  <si>
    <t>10 kWh Battery LiFePo4</t>
  </si>
  <si>
    <t>Shore Power Connection 30A/110V</t>
  </si>
  <si>
    <t>Medical Kit</t>
  </si>
  <si>
    <t>Liferings, Buoys, Throwline</t>
  </si>
  <si>
    <t>Lifewests</t>
  </si>
  <si>
    <t>Horn</t>
  </si>
  <si>
    <t>Engine Fire Suppression System</t>
  </si>
  <si>
    <t>CO and Propane Alarms</t>
  </si>
  <si>
    <t>Engine Ventilation</t>
  </si>
  <si>
    <t>Custom</t>
  </si>
  <si>
    <t>Disp/Length</t>
  </si>
  <si>
    <t>Comfort Ratio</t>
  </si>
  <si>
    <t>Capsize Screening Formula</t>
  </si>
  <si>
    <t>Classification</t>
  </si>
  <si>
    <t>Rig</t>
  </si>
  <si>
    <t>Cockpit</t>
  </si>
  <si>
    <t>Bow</t>
  </si>
  <si>
    <t>Gelcoat/Paint</t>
  </si>
  <si>
    <t>Shunt</t>
  </si>
  <si>
    <t>Battery monotoring system</t>
  </si>
  <si>
    <t>Incl shunt</t>
  </si>
  <si>
    <t>Shunt/Installation</t>
  </si>
  <si>
    <t>Victron smart shunt</t>
  </si>
  <si>
    <t>none, using from inverter</t>
  </si>
  <si>
    <t>Monitor (used for solar/battery monitoring)</t>
  </si>
  <si>
    <t>victron smart shunt</t>
  </si>
  <si>
    <t>State</t>
  </si>
  <si>
    <t>ItemState</t>
  </si>
  <si>
    <t>Replace</t>
  </si>
  <si>
    <t>Comment</t>
  </si>
  <si>
    <t>AssesmentTargets</t>
  </si>
  <si>
    <t>?</t>
  </si>
  <si>
    <t>Qualification</t>
  </si>
  <si>
    <t>Build Quality</t>
  </si>
  <si>
    <t>Overall Condition</t>
  </si>
  <si>
    <t>Seawothiness</t>
  </si>
  <si>
    <t>Comfort And Accomodations</t>
  </si>
  <si>
    <t>Ease Of Handling</t>
  </si>
  <si>
    <t>Equipment And Inventory</t>
  </si>
  <si>
    <t>Aesthetics</t>
  </si>
  <si>
    <t>Maintenance History</t>
  </si>
  <si>
    <t>Previous Owner</t>
  </si>
  <si>
    <t>Gidyness Factor</t>
  </si>
  <si>
    <t>ft</t>
  </si>
  <si>
    <t>kg</t>
  </si>
  <si>
    <t>Safety</t>
  </si>
  <si>
    <t>Subjective</t>
  </si>
  <si>
    <t>Hull Survey</t>
  </si>
  <si>
    <t>Engine Survey</t>
  </si>
  <si>
    <t>Asking Price</t>
  </si>
  <si>
    <t>ASKING PRICE</t>
  </si>
  <si>
    <t>INVESTMENT</t>
  </si>
  <si>
    <t>Assesment Target</t>
  </si>
  <si>
    <t>Qualifications</t>
  </si>
  <si>
    <t>Seaworthiness</t>
  </si>
  <si>
    <t>Resale Value</t>
  </si>
  <si>
    <t>Value</t>
  </si>
  <si>
    <t>Relative Price</t>
  </si>
  <si>
    <t>Hull Material</t>
  </si>
  <si>
    <t>Item</t>
  </si>
  <si>
    <t>🦶</t>
  </si>
  <si>
    <t>P</t>
  </si>
  <si>
    <t>Price by foot LOA</t>
  </si>
  <si>
    <t>Could be replaced by a project item below</t>
  </si>
  <si>
    <t>Ground Tackle →</t>
  </si>
  <si>
    <t>Windlass →</t>
  </si>
  <si>
    <t>Standing Rigging →</t>
  </si>
  <si>
    <t>Furling Systems →</t>
  </si>
  <si>
    <t>Running Rigging →</t>
  </si>
  <si>
    <t>Sails →</t>
  </si>
  <si>
    <t>Blocks, Tracks →</t>
  </si>
  <si>
    <t>Dodger →</t>
  </si>
  <si>
    <t>Bimini/Hardtop →</t>
  </si>
  <si>
    <t>Solar Arch →</t>
  </si>
  <si>
    <t>Awning →</t>
  </si>
  <si>
    <t>Shore Power Connection →</t>
  </si>
  <si>
    <t>House Battery Bank 💡</t>
  </si>
  <si>
    <t>Solar System 💡</t>
  </si>
  <si>
    <t>Alternator Charging 💡</t>
  </si>
  <si>
    <t>Dinghy →</t>
  </si>
  <si>
    <t>Outboard →</t>
  </si>
  <si>
    <t>Power Tools →</t>
  </si>
  <si>
    <t>Mechanical Tools →</t>
  </si>
  <si>
    <t>Sewing Kit →</t>
  </si>
  <si>
    <t>General Mechanical Spares →</t>
  </si>
  <si>
    <t>Electric Installation Spares →</t>
  </si>
  <si>
    <t>Repair/Maintenance/Cleaning Spares →</t>
  </si>
  <si>
    <t>Rigging Spares →</t>
  </si>
  <si>
    <t>Engine And Drive Train Spares →</t>
  </si>
  <si>
    <t>Outboard Spares →</t>
  </si>
  <si>
    <t>Generator Spares →</t>
  </si>
  <si>
    <t>Consumables →</t>
  </si>
  <si>
    <t>Fixed Solar System 1kW →</t>
  </si>
  <si>
    <t>Removeable Solar System 1kW →</t>
  </si>
  <si>
    <t>High Output Alternator →</t>
  </si>
  <si>
    <t>10 kWh House Batteries →</t>
  </si>
  <si>
    <t>Inverter And Battery Charger →</t>
  </si>
  <si>
    <t>Windlass Dedicated Battery →</t>
  </si>
  <si>
    <t>Working Computer →</t>
  </si>
  <si>
    <t>DIY Tools →</t>
  </si>
  <si>
    <t>Dry Cabinet →</t>
  </si>
  <si>
    <t>Dinghy Accessories / Upgrades →</t>
  </si>
  <si>
    <t>Progressive price based on 40ft LOA</t>
  </si>
  <si>
    <t>Has a calculation in another sheet</t>
  </si>
  <si>
    <t>Pedestral/Wheel</t>
  </si>
  <si>
    <t>Prop Shaft, Packing, Cutlass Bearing</t>
  </si>
  <si>
    <t>AC Cabling, Fuses, Outlets, Switchboard</t>
  </si>
  <si>
    <t>Inverter 💡</t>
  </si>
  <si>
    <t>AC Charger 💡</t>
  </si>
  <si>
    <t>Battery Monitoring 💡</t>
  </si>
  <si>
    <t>Hot Water Calorifier</t>
  </si>
  <si>
    <t>Instruments: Depth, Speed</t>
  </si>
  <si>
    <t>Wind Instrument</t>
  </si>
  <si>
    <t>System Spare Parts</t>
  </si>
  <si>
    <t>Autopilot Maintenance Kit</t>
  </si>
  <si>
    <t>Generator Spare Parts</t>
  </si>
  <si>
    <t>Holding Tank</t>
  </si>
  <si>
    <t>Head</t>
  </si>
  <si>
    <t>Shower</t>
  </si>
  <si>
    <t>PERSONAL</t>
  </si>
  <si>
    <t>275N x2</t>
  </si>
  <si>
    <t>170N x2</t>
  </si>
  <si>
    <t>170N/275N</t>
  </si>
  <si>
    <t>Jacket/Pants/Gloves</t>
  </si>
  <si>
    <t>Inflatable Lifewest</t>
  </si>
  <si>
    <t>Tropical Raingear</t>
  </si>
  <si>
    <t>Hiking Pants/Jacket Combo</t>
  </si>
  <si>
    <t>Poncho</t>
  </si>
  <si>
    <t>Personal</t>
  </si>
  <si>
    <t>Personal Items →</t>
  </si>
  <si>
    <t>Kayak, Paddleboard, etc</t>
  </si>
  <si>
    <t>Location</t>
  </si>
  <si>
    <t>Boat Name</t>
  </si>
  <si>
    <t>Data</t>
  </si>
  <si>
    <t>Lightship Displacement</t>
  </si>
  <si>
    <t>Beam</t>
  </si>
  <si>
    <t>LOA</t>
  </si>
  <si>
    <t>Stern</t>
  </si>
  <si>
    <t>l</t>
  </si>
  <si>
    <t>Fuel Capacity</t>
  </si>
  <si>
    <t>Water Capacity</t>
  </si>
  <si>
    <t>Parameters</t>
  </si>
  <si>
    <t>Default Asking Price Subtraction</t>
  </si>
  <si>
    <t>Missing</t>
  </si>
  <si>
    <t>Required</t>
  </si>
  <si>
    <t>SSB</t>
  </si>
  <si>
    <t>Handheld VHF</t>
  </si>
  <si>
    <t>Compass</t>
  </si>
  <si>
    <t>Diesel Jerry Cans On Deck</t>
  </si>
  <si>
    <t>Ignore</t>
  </si>
  <si>
    <t>Improve</t>
  </si>
  <si>
    <t>Install</t>
  </si>
  <si>
    <t>Chartplotter Cockpit</t>
  </si>
  <si>
    <t>Chartplotter Navdesk</t>
  </si>
  <si>
    <t>Work Computer</t>
  </si>
  <si>
    <t>Monitor</t>
  </si>
  <si>
    <t>Navigationg Computer →</t>
  </si>
  <si>
    <t>Draft Min/Max</t>
  </si>
  <si>
    <t>Cost
Optimal</t>
  </si>
  <si>
    <t>Cost
Economic</t>
  </si>
  <si>
    <t>Cost
Essential</t>
  </si>
  <si>
    <t>Cost
Override</t>
  </si>
  <si>
    <t>Effective
Cost</t>
  </si>
  <si>
    <t>Cleats</t>
  </si>
  <si>
    <t>Cond
%</t>
  </si>
  <si>
    <t>Hull</t>
  </si>
  <si>
    <t>Anchoring</t>
  </si>
  <si>
    <t>Communications</t>
  </si>
  <si>
    <t>Spares</t>
  </si>
  <si>
    <t>Flags</t>
  </si>
  <si>
    <t>Electric System</t>
  </si>
  <si>
    <t>IT</t>
  </si>
  <si>
    <t>EQUIPMENT</t>
  </si>
  <si>
    <t>Price USD</t>
  </si>
  <si>
    <t>Std. Reduced</t>
  </si>
  <si>
    <t>Date</t>
  </si>
  <si>
    <t xml:space="preserve">https://www.sailboatsforsale.com/listings/guatemala/guatemala/1982-vagabond-42-kaimi  </t>
  </si>
  <si>
    <t>Listings</t>
  </si>
  <si>
    <t>Qualification Scores</t>
  </si>
  <si>
    <t>Survey</t>
  </si>
  <si>
    <t>ADMINISTRATIVE</t>
  </si>
  <si>
    <t>Registration</t>
  </si>
  <si>
    <t>MMSI</t>
  </si>
  <si>
    <t>Liability Insurance (First Year)</t>
  </si>
  <si>
    <t>Hull Insurance (First Year)</t>
  </si>
  <si>
    <t>@80k</t>
  </si>
  <si>
    <t>Administrative</t>
  </si>
  <si>
    <t>Grand Total</t>
  </si>
  <si>
    <t>Offer</t>
  </si>
  <si>
    <t>Customization - Personal</t>
  </si>
  <si>
    <t>Customization - Projects</t>
  </si>
  <si>
    <t>Customization - Equipment</t>
  </si>
  <si>
    <t>QUALIFICATION</t>
  </si>
  <si>
    <t>Rep/Rep</t>
  </si>
  <si>
    <t>Reduction</t>
  </si>
  <si>
    <t>Insurance</t>
  </si>
  <si>
    <t>Paperwork</t>
  </si>
  <si>
    <t>Comissioning</t>
  </si>
  <si>
    <t>Haulout For Repairs/Upgrades</t>
  </si>
  <si>
    <t>Survey Haulout, incl pressure wash</t>
  </si>
  <si>
    <t>Saltwater Surprise Fund</t>
  </si>
  <si>
    <t>% of sale price</t>
  </si>
  <si>
    <t>Nordic 44</t>
  </si>
  <si>
    <t>Nordic Yachts Inc.</t>
  </si>
  <si>
    <t>Robert Perry</t>
  </si>
  <si>
    <t>https://sailboatdata.com/sailboat/nordic-44/</t>
  </si>
  <si>
    <t>Rebak Marina, Langkawi</t>
  </si>
  <si>
    <t>Fin Keel, Integrated</t>
  </si>
  <si>
    <t>Skeg Hung</t>
  </si>
  <si>
    <t>Masthead Sloop</t>
  </si>
  <si>
    <t>Aft</t>
  </si>
  <si>
    <t>Raked</t>
  </si>
  <si>
    <t>Reverse</t>
  </si>
  <si>
    <t>Comments</t>
  </si>
  <si>
    <t>Small workshop w/ wise</t>
  </si>
  <si>
    <t>Bal/Disp</t>
  </si>
  <si>
    <t>Universal 50 ( Kubota series V1903 ) (1981) 5400h</t>
  </si>
  <si>
    <t>Stereo/Radio</t>
  </si>
  <si>
    <t>Needs overhaul, in MY</t>
  </si>
  <si>
    <t>Out of date - service</t>
  </si>
  <si>
    <t>Mostly from 2009 / NZ, full set</t>
  </si>
  <si>
    <t>Whisker Pole</t>
  </si>
  <si>
    <t>Uncertainity Before Survey</t>
  </si>
  <si>
    <t>Last haulout 2020, MY prices</t>
  </si>
  <si>
    <t>N/A</t>
  </si>
  <si>
    <t>Something in MY…</t>
  </si>
  <si>
    <t>Can only go to 500-700W</t>
  </si>
  <si>
    <t>MY prices</t>
  </si>
  <si>
    <t>MY Prices</t>
  </si>
  <si>
    <t>Not necessary</t>
  </si>
  <si>
    <t>Folding prop</t>
  </si>
  <si>
    <t>30A Victron Charger</t>
  </si>
  <si>
    <t>180W</t>
  </si>
  <si>
    <t>Vicron round one</t>
  </si>
  <si>
    <t>1500W Inverter 120V</t>
  </si>
  <si>
    <t xml:space="preserve">Needs replacement 2x 150Ah </t>
  </si>
  <si>
    <t>All US and 120V</t>
  </si>
  <si>
    <t>KISS ~200W@15kn</t>
  </si>
  <si>
    <t>106A + 55A</t>
  </si>
  <si>
    <t>Already has 106A Alternator</t>
  </si>
  <si>
    <t>WatchMate!</t>
  </si>
  <si>
    <t>Seems no speed</t>
  </si>
  <si>
    <t>No space for solar</t>
  </si>
  <si>
    <t>Seems like space for 800-700W</t>
  </si>
  <si>
    <t>From 1998, have mech. Fittings</t>
  </si>
  <si>
    <t>Watermaker</t>
  </si>
  <si>
    <t>Needs new membranes</t>
  </si>
  <si>
    <t>Engine/Electric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</si>
</sst>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8"/>
      <color theme="7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9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2" borderId="1" applyNumberFormat="0" applyAlignment="0" applyProtection="0"/>
    <xf numFmtId="9" fontId="1" fillId="0" borderId="0" applyFont="0" applyFill="0" applyBorder="0" applyAlignment="0" applyProtection="0"/>
    <xf numFmtId="0" fontId="1" fillId="4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41">
    <xf numFmtId="0" fontId="0" fillId="0" borderId="0" xfId="0"/>
    <xf numFmtId="44" fontId="0" fillId="0" borderId="0" xfId="2" applyFont="1"/>
    <xf numFmtId="0" fontId="0" fillId="0" borderId="0" xfId="0" applyAlignment="1">
      <alignment horizontal="right" vertical="top" wrapText="1"/>
    </xf>
    <xf numFmtId="0" fontId="6" fillId="0" borderId="0" xfId="0" applyFont="1"/>
    <xf numFmtId="44" fontId="0" fillId="6" borderId="3" xfId="2" applyFont="1" applyFill="1" applyBorder="1"/>
    <xf numFmtId="0" fontId="0" fillId="6" borderId="3" xfId="0" applyFill="1" applyBorder="1"/>
    <xf numFmtId="44" fontId="0" fillId="7" borderId="3" xfId="2" applyFont="1" applyFill="1" applyBorder="1"/>
    <xf numFmtId="0" fontId="0" fillId="7" borderId="3" xfId="0" applyFill="1" applyBorder="1"/>
    <xf numFmtId="43" fontId="0" fillId="0" borderId="3" xfId="1" applyFont="1" applyFill="1" applyBorder="1" applyAlignment="1">
      <alignment horizontal="center"/>
    </xf>
    <xf numFmtId="44" fontId="3" fillId="0" borderId="0" xfId="0" applyNumberFormat="1" applyFont="1"/>
    <xf numFmtId="0" fontId="0" fillId="0" borderId="8" xfId="0" applyBorder="1"/>
    <xf numFmtId="0" fontId="0" fillId="0" borderId="10" xfId="0" applyBorder="1"/>
    <xf numFmtId="0" fontId="0" fillId="8" borderId="0" xfId="0" applyFill="1"/>
    <xf numFmtId="0" fontId="0" fillId="0" borderId="3" xfId="0" applyBorder="1"/>
    <xf numFmtId="0" fontId="0" fillId="0" borderId="3" xfId="0" applyBorder="1" applyAlignment="1">
      <alignment horizontal="right" vertical="top" wrapText="1"/>
    </xf>
    <xf numFmtId="0" fontId="0" fillId="8" borderId="3" xfId="0" applyFill="1" applyBorder="1"/>
    <xf numFmtId="0" fontId="3" fillId="8" borderId="3" xfId="0" applyFont="1" applyFill="1" applyBorder="1"/>
    <xf numFmtId="0" fontId="0" fillId="8" borderId="5" xfId="0" applyFill="1" applyBorder="1"/>
    <xf numFmtId="44" fontId="0" fillId="6" borderId="12" xfId="2" applyFont="1" applyFill="1" applyBorder="1"/>
    <xf numFmtId="44" fontId="0" fillId="7" borderId="12" xfId="2" applyFont="1" applyFill="1" applyBorder="1"/>
    <xf numFmtId="0" fontId="5" fillId="9" borderId="0" xfId="0" applyFont="1" applyFill="1"/>
    <xf numFmtId="0" fontId="4" fillId="9" borderId="0" xfId="0" applyFont="1" applyFill="1"/>
    <xf numFmtId="0" fontId="4" fillId="9" borderId="3" xfId="0" applyFont="1" applyFill="1" applyBorder="1"/>
    <xf numFmtId="0" fontId="0" fillId="0" borderId="12" xfId="0" applyBorder="1"/>
    <xf numFmtId="0" fontId="0" fillId="0" borderId="13" xfId="0" applyBorder="1"/>
    <xf numFmtId="0" fontId="0" fillId="0" borderId="9" xfId="0" applyBorder="1"/>
    <xf numFmtId="44" fontId="1" fillId="4" borderId="3" xfId="5" applyNumberFormat="1" applyBorder="1"/>
    <xf numFmtId="0" fontId="1" fillId="4" borderId="3" xfId="5" applyBorder="1"/>
    <xf numFmtId="0" fontId="0" fillId="8" borderId="12" xfId="0" applyFill="1" applyBorder="1"/>
    <xf numFmtId="44" fontId="1" fillId="4" borderId="12" xfId="5" applyNumberFormat="1" applyBorder="1"/>
    <xf numFmtId="0" fontId="0" fillId="8" borderId="4" xfId="0" applyFill="1" applyBorder="1"/>
    <xf numFmtId="44" fontId="3" fillId="6" borderId="4" xfId="2" applyFont="1" applyFill="1" applyBorder="1"/>
    <xf numFmtId="44" fontId="3" fillId="7" borderId="4" xfId="2" applyFont="1" applyFill="1" applyBorder="1"/>
    <xf numFmtId="44" fontId="3" fillId="4" borderId="4" xfId="5" applyNumberFormat="1" applyFont="1" applyBorder="1"/>
    <xf numFmtId="44" fontId="0" fillId="6" borderId="13" xfId="2" applyFont="1" applyFill="1" applyBorder="1"/>
    <xf numFmtId="44" fontId="0" fillId="7" borderId="13" xfId="2" applyFont="1" applyFill="1" applyBorder="1"/>
    <xf numFmtId="44" fontId="1" fillId="4" borderId="13" xfId="5" applyNumberFormat="1" applyBorder="1"/>
    <xf numFmtId="43" fontId="1" fillId="0" borderId="6" xfId="1" applyFont="1" applyFill="1" applyBorder="1" applyAlignment="1">
      <alignment horizontal="center"/>
    </xf>
    <xf numFmtId="0" fontId="1" fillId="0" borderId="0" xfId="0" applyFont="1"/>
    <xf numFmtId="44" fontId="1" fillId="6" borderId="6" xfId="2" applyFont="1" applyFill="1" applyBorder="1"/>
    <xf numFmtId="44" fontId="1" fillId="6" borderId="11" xfId="2" applyFont="1" applyFill="1" applyBorder="1"/>
    <xf numFmtId="44" fontId="1" fillId="6" borderId="14" xfId="2" applyFont="1" applyFill="1" applyBorder="1"/>
    <xf numFmtId="44" fontId="1" fillId="6" borderId="15" xfId="2" applyFont="1" applyFill="1" applyBorder="1"/>
    <xf numFmtId="0" fontId="1" fillId="6" borderId="6" xfId="0" applyFont="1" applyFill="1" applyBorder="1"/>
    <xf numFmtId="0" fontId="1" fillId="0" borderId="8" xfId="0" applyFont="1" applyBorder="1"/>
    <xf numFmtId="9" fontId="1" fillId="0" borderId="0" xfId="4" applyFont="1" applyBorder="1"/>
    <xf numFmtId="0" fontId="1" fillId="0" borderId="10" xfId="0" applyFont="1" applyBorder="1"/>
    <xf numFmtId="43" fontId="1" fillId="0" borderId="3" xfId="1" applyFont="1" applyFill="1" applyBorder="1" applyAlignment="1">
      <alignment horizontal="center"/>
    </xf>
    <xf numFmtId="44" fontId="1" fillId="7" borderId="3" xfId="2" applyFont="1" applyFill="1" applyBorder="1"/>
    <xf numFmtId="44" fontId="1" fillId="7" borderId="12" xfId="2" applyFont="1" applyFill="1" applyBorder="1"/>
    <xf numFmtId="44" fontId="1" fillId="7" borderId="4" xfId="2" applyFont="1" applyFill="1" applyBorder="1"/>
    <xf numFmtId="44" fontId="1" fillId="7" borderId="13" xfId="2" applyFont="1" applyFill="1" applyBorder="1"/>
    <xf numFmtId="0" fontId="1" fillId="7" borderId="3" xfId="0" applyFont="1" applyFill="1" applyBorder="1"/>
    <xf numFmtId="44" fontId="1" fillId="4" borderId="4" xfId="5" applyNumberFormat="1" applyBorder="1"/>
    <xf numFmtId="0" fontId="7" fillId="8" borderId="3" xfId="0" applyFont="1" applyFill="1" applyBorder="1"/>
    <xf numFmtId="44" fontId="8" fillId="4" borderId="3" xfId="5" applyNumberFormat="1" applyFont="1" applyBorder="1"/>
    <xf numFmtId="44" fontId="9" fillId="4" borderId="3" xfId="5" applyNumberFormat="1" applyFont="1" applyBorder="1"/>
    <xf numFmtId="44" fontId="0" fillId="6" borderId="0" xfId="2" applyFont="1" applyFill="1"/>
    <xf numFmtId="44" fontId="0" fillId="7" borderId="0" xfId="2" applyFont="1" applyFill="1"/>
    <xf numFmtId="44" fontId="0" fillId="5" borderId="0" xfId="2" applyFont="1" applyFill="1"/>
    <xf numFmtId="0" fontId="12" fillId="0" borderId="0" xfId="0" applyFont="1"/>
    <xf numFmtId="0" fontId="12" fillId="8" borderId="0" xfId="0" applyFont="1" applyFill="1"/>
    <xf numFmtId="0" fontId="12" fillId="8" borderId="0" xfId="0" applyFont="1" applyFill="1" applyAlignment="1">
      <alignment horizontal="center"/>
    </xf>
    <xf numFmtId="0" fontId="2" fillId="2" borderId="1" xfId="3"/>
    <xf numFmtId="0" fontId="0" fillId="0" borderId="0" xfId="0" applyAlignment="1">
      <alignment horizontal="center"/>
    </xf>
    <xf numFmtId="0" fontId="0" fillId="10" borderId="0" xfId="0" applyFill="1"/>
    <xf numFmtId="44" fontId="0" fillId="10" borderId="0" xfId="2" applyFont="1" applyFill="1"/>
    <xf numFmtId="0" fontId="0" fillId="7" borderId="0" xfId="0" applyFill="1" applyAlignment="1">
      <alignment horizontal="center"/>
    </xf>
    <xf numFmtId="44" fontId="2" fillId="2" borderId="1" xfId="2" applyFont="1" applyFill="1" applyBorder="1"/>
    <xf numFmtId="0" fontId="13" fillId="0" borderId="0" xfId="0" applyFont="1"/>
    <xf numFmtId="9" fontId="2" fillId="2" borderId="1" xfId="4" applyFont="1" applyFill="1" applyBorder="1" applyAlignment="1">
      <alignment horizontal="center"/>
    </xf>
    <xf numFmtId="44" fontId="13" fillId="3" borderId="1" xfId="2" applyFont="1" applyFill="1" applyBorder="1" applyAlignment="1">
      <alignment horizontal="right"/>
    </xf>
    <xf numFmtId="0" fontId="0" fillId="0" borderId="0" xfId="0" applyAlignment="1">
      <alignment horizontal="left"/>
    </xf>
    <xf numFmtId="0" fontId="14" fillId="0" borderId="0" xfId="0" applyFont="1"/>
    <xf numFmtId="44" fontId="0" fillId="0" borderId="0" xfId="2" applyFont="1" applyAlignment="1">
      <alignment horizontal="center"/>
    </xf>
    <xf numFmtId="1" fontId="0" fillId="0" borderId="0" xfId="1" applyNumberFormat="1" applyFont="1" applyAlignment="1">
      <alignment horizontal="center"/>
    </xf>
    <xf numFmtId="1" fontId="15" fillId="0" borderId="0" xfId="1" applyNumberFormat="1" applyFont="1" applyAlignment="1">
      <alignment horizontal="center"/>
    </xf>
    <xf numFmtId="1" fontId="3" fillId="0" borderId="0" xfId="0" applyNumberFormat="1" applyFont="1"/>
    <xf numFmtId="1" fontId="3" fillId="0" borderId="0" xfId="0" applyNumberFormat="1" applyFont="1" applyAlignment="1">
      <alignment horizontal="center"/>
    </xf>
    <xf numFmtId="44" fontId="3" fillId="0" borderId="0" xfId="2" applyFont="1" applyAlignment="1">
      <alignment horizontal="center"/>
    </xf>
    <xf numFmtId="1" fontId="16" fillId="0" borderId="0" xfId="0" applyNumberFormat="1" applyFont="1" applyAlignment="1">
      <alignment horizontal="center"/>
    </xf>
    <xf numFmtId="44" fontId="0" fillId="0" borderId="0" xfId="0" applyNumberFormat="1"/>
    <xf numFmtId="44" fontId="3" fillId="0" borderId="16" xfId="0" applyNumberFormat="1" applyFont="1" applyBorder="1"/>
    <xf numFmtId="44" fontId="2" fillId="2" borderId="1" xfId="2" applyFont="1" applyFill="1" applyBorder="1" applyAlignment="1">
      <alignment horizontal="left"/>
    </xf>
    <xf numFmtId="44" fontId="2" fillId="2" borderId="0" xfId="2" applyFont="1" applyFill="1" applyBorder="1" applyAlignment="1">
      <alignment horizontal="left"/>
    </xf>
    <xf numFmtId="44" fontId="15" fillId="0" borderId="0" xfId="2" applyFont="1"/>
    <xf numFmtId="0" fontId="3" fillId="0" borderId="0" xfId="0" applyFont="1" applyAlignment="1">
      <alignment horizontal="center"/>
    </xf>
    <xf numFmtId="165" fontId="13" fillId="3" borderId="1" xfId="2" applyNumberFormat="1" applyFont="1" applyFill="1" applyBorder="1" applyAlignment="1">
      <alignment horizontal="right"/>
    </xf>
    <xf numFmtId="165" fontId="3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164" fontId="2" fillId="2" borderId="1" xfId="1" applyNumberFormat="1" applyFont="1" applyFill="1" applyBorder="1" applyAlignment="1">
      <alignment horizontal="left"/>
    </xf>
    <xf numFmtId="165" fontId="2" fillId="2" borderId="1" xfId="1" applyNumberFormat="1" applyFont="1" applyFill="1" applyBorder="1" applyAlignment="1">
      <alignment horizontal="right"/>
    </xf>
    <xf numFmtId="2" fontId="2" fillId="2" borderId="1" xfId="1" applyNumberFormat="1" applyFont="1" applyFill="1" applyBorder="1" applyAlignment="1">
      <alignment horizontal="right"/>
    </xf>
    <xf numFmtId="9" fontId="2" fillId="2" borderId="1" xfId="4" applyFont="1" applyFill="1" applyBorder="1" applyAlignment="1">
      <alignment horizontal="right"/>
    </xf>
    <xf numFmtId="14" fontId="2" fillId="2" borderId="0" xfId="2" applyNumberFormat="1" applyFont="1" applyFill="1" applyBorder="1" applyAlignment="1">
      <alignment horizontal="left"/>
    </xf>
    <xf numFmtId="9" fontId="0" fillId="0" borderId="0" xfId="4" applyFont="1" applyAlignment="1">
      <alignment horizontal="center"/>
    </xf>
    <xf numFmtId="44" fontId="13" fillId="3" borderId="1" xfId="2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44" fontId="3" fillId="0" borderId="16" xfId="0" applyNumberFormat="1" applyFont="1" applyBorder="1" applyAlignment="1">
      <alignment horizontal="center"/>
    </xf>
    <xf numFmtId="0" fontId="17" fillId="0" borderId="0" xfId="6"/>
    <xf numFmtId="1" fontId="18" fillId="0" borderId="0" xfId="0" applyNumberFormat="1" applyFont="1" applyAlignment="1">
      <alignment horizontal="right"/>
    </xf>
    <xf numFmtId="165" fontId="2" fillId="2" borderId="18" xfId="1" applyNumberFormat="1" applyFont="1" applyFill="1" applyBorder="1" applyAlignment="1">
      <alignment horizontal="right"/>
    </xf>
    <xf numFmtId="165" fontId="2" fillId="2" borderId="19" xfId="1" applyNumberFormat="1" applyFont="1" applyFill="1" applyBorder="1" applyAlignment="1">
      <alignment horizontal="right"/>
    </xf>
    <xf numFmtId="0" fontId="2" fillId="2" borderId="19" xfId="3" applyBorder="1"/>
    <xf numFmtId="0" fontId="0" fillId="0" borderId="0" xfId="0" applyAlignment="1">
      <alignment horizontal="center" textRotation="90"/>
    </xf>
    <xf numFmtId="49" fontId="0" fillId="6" borderId="0" xfId="2" applyNumberFormat="1" applyFont="1" applyFill="1" applyAlignment="1">
      <alignment horizontal="center" vertical="center" wrapText="1"/>
    </xf>
    <xf numFmtId="49" fontId="0" fillId="7" borderId="0" xfId="2" applyNumberFormat="1" applyFont="1" applyFill="1" applyAlignment="1">
      <alignment horizontal="center" vertical="center" wrapText="1"/>
    </xf>
    <xf numFmtId="49" fontId="0" fillId="5" borderId="0" xfId="2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1" borderId="0" xfId="0" applyFill="1"/>
    <xf numFmtId="0" fontId="12" fillId="11" borderId="0" xfId="0" applyFont="1" applyFill="1"/>
    <xf numFmtId="0" fontId="0" fillId="11" borderId="0" xfId="0" applyFill="1" applyAlignment="1">
      <alignment horizontal="center"/>
    </xf>
    <xf numFmtId="0" fontId="13" fillId="11" borderId="0" xfId="0" applyFont="1" applyFill="1"/>
    <xf numFmtId="44" fontId="0" fillId="11" borderId="0" xfId="2" applyFont="1" applyFill="1"/>
    <xf numFmtId="0" fontId="13" fillId="0" borderId="1" xfId="3" applyFont="1" applyFill="1"/>
    <xf numFmtId="44" fontId="18" fillId="0" borderId="0" xfId="2" applyFont="1"/>
    <xf numFmtId="0" fontId="19" fillId="10" borderId="0" xfId="0" applyFont="1" applyFill="1"/>
    <xf numFmtId="0" fontId="2" fillId="2" borderId="1" xfId="3" quotePrefix="1"/>
    <xf numFmtId="0" fontId="0" fillId="0" borderId="16" xfId="0" applyBorder="1"/>
    <xf numFmtId="44" fontId="0" fillId="0" borderId="16" xfId="2" applyFont="1" applyBorder="1"/>
    <xf numFmtId="43" fontId="20" fillId="3" borderId="20" xfId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10" fontId="21" fillId="3" borderId="1" xfId="4" applyNumberFormat="1" applyFont="1" applyFill="1" applyBorder="1" applyAlignment="1">
      <alignment horizontal="right"/>
    </xf>
    <xf numFmtId="44" fontId="21" fillId="0" borderId="0" xfId="2" applyFont="1"/>
    <xf numFmtId="44" fontId="21" fillId="3" borderId="1" xfId="2" applyFont="1" applyFill="1" applyBorder="1" applyAlignment="1">
      <alignment horizontal="right"/>
    </xf>
    <xf numFmtId="0" fontId="2" fillId="2" borderId="17" xfId="3" applyBorder="1" applyAlignment="1"/>
    <xf numFmtId="0" fontId="2" fillId="2" borderId="17" xfId="3" applyBorder="1" applyAlignment="1">
      <alignment horizontal="left"/>
    </xf>
    <xf numFmtId="0" fontId="17" fillId="2" borderId="17" xfId="6" applyFill="1" applyBorder="1" applyAlignment="1">
      <alignment horizontal="left"/>
    </xf>
    <xf numFmtId="44" fontId="0" fillId="6" borderId="5" xfId="2" applyFont="1" applyFill="1" applyBorder="1" applyAlignment="1">
      <alignment horizontal="center" vertical="center"/>
    </xf>
    <xf numFmtId="44" fontId="0" fillId="6" borderId="6" xfId="2" applyFont="1" applyFill="1" applyBorder="1" applyAlignment="1">
      <alignment horizontal="center" vertical="center"/>
    </xf>
    <xf numFmtId="44" fontId="0" fillId="7" borderId="5" xfId="2" applyFont="1" applyFill="1" applyBorder="1" applyAlignment="1">
      <alignment horizontal="center" vertical="center"/>
    </xf>
    <xf numFmtId="44" fontId="0" fillId="7" borderId="6" xfId="2" applyFont="1" applyFill="1" applyBorder="1" applyAlignment="1">
      <alignment horizontal="center" vertical="center"/>
    </xf>
    <xf numFmtId="44" fontId="1" fillId="4" borderId="7" xfId="5" applyNumberFormat="1" applyBorder="1" applyAlignment="1">
      <alignment horizontal="center" vertical="center"/>
    </xf>
    <xf numFmtId="44" fontId="1" fillId="4" borderId="2" xfId="5" applyNumberFormat="1" applyBorder="1" applyAlignment="1">
      <alignment horizontal="center" vertical="center"/>
    </xf>
    <xf numFmtId="0" fontId="23" fillId="0" borderId="0" xfId="0" applyNumberFormat="1" applyFont="1" applyAlignment="1">
      <alignment horizontal="right"/>
    </xf>
    <xf numFmtId="0" fontId="23" fillId="0" borderId="0" xfId="0" applyNumberFormat="1" applyFont="1" applyAlignment="1">
      <alignment horizontal="right" vertical="center"/>
    </xf>
    <xf numFmtId="44" fontId="23" fillId="0" borderId="0" xfId="0" applyNumberFormat="1" applyFont="1" applyAlignment="1">
      <alignment horizontal="right"/>
    </xf>
  </cellXfs>
  <cellStyles count="7">
    <cellStyle name="20% - Accent4" xfId="5" builtinId="42"/>
    <cellStyle name="Comma" xfId="1" builtinId="3"/>
    <cellStyle name="Currency" xfId="2" builtinId="4"/>
    <cellStyle name="Hyperlink" xfId="6" builtinId="8"/>
    <cellStyle name="Input" xfId="3" builtinId="20"/>
    <cellStyle name="Normal" xfId="0" builtinId="0"/>
    <cellStyle name="Percent" xfId="4" builtinId="5"/>
  </cellStyles>
  <dxfs count="415"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rgb="FFFFABAB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theme="7" tint="0.39994506668294322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theme="8" tint="0.5999633777886288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B3B3"/>
        </patternFill>
      </fill>
    </dxf>
    <dxf>
      <fill>
        <patternFill>
          <bgColor rgb="FFFFD5FF"/>
        </patternFill>
      </fill>
    </dxf>
    <dxf>
      <font>
        <color rgb="FF9C0006"/>
      </font>
      <fill>
        <patternFill>
          <bgColor rgb="FFFFEEB7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E8E8E8"/>
        </patternFill>
      </fill>
    </dxf>
    <dxf>
      <fill>
        <patternFill>
          <bgColor rgb="FFFFABAB"/>
        </patternFill>
      </fill>
    </dxf>
  </dxfs>
  <tableStyles count="0" defaultTableStyle="TableStyleMedium2" defaultPivotStyle="PivotStyleLight16"/>
  <colors>
    <mruColors>
      <color rgb="FFFFB3B3"/>
      <color rgb="FFFFA3A5"/>
      <color rgb="FFFFD5FF"/>
      <color rgb="FFFFCCFF"/>
      <color rgb="FFFFABAB"/>
      <color rgb="FFFF9F9F"/>
      <color rgb="FFE8E8E8"/>
      <color rgb="FFDDDDDD"/>
      <color rgb="FFFFEEB7"/>
      <color rgb="FFFFE3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sv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3</xdr:row>
      <xdr:rowOff>57979</xdr:rowOff>
    </xdr:from>
    <xdr:to>
      <xdr:col>11</xdr:col>
      <xdr:colOff>911087</xdr:colOff>
      <xdr:row>54</xdr:row>
      <xdr:rowOff>5495</xdr:rowOff>
    </xdr:to>
    <xdr:pic>
      <xdr:nvPicPr>
        <xdr:cNvPr id="4" name="Picture 3" descr="NORDIC 4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17196" y="679175"/>
          <a:ext cx="4497456" cy="96961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114</xdr:row>
      <xdr:rowOff>41412</xdr:rowOff>
    </xdr:from>
    <xdr:to>
      <xdr:col>1</xdr:col>
      <xdr:colOff>381001</xdr:colOff>
      <xdr:row>116</xdr:row>
      <xdr:rowOff>24848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7579437"/>
          <a:ext cx="364436" cy="364436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119</xdr:row>
      <xdr:rowOff>8283</xdr:rowOff>
    </xdr:from>
    <xdr:to>
      <xdr:col>1</xdr:col>
      <xdr:colOff>381001</xdr:colOff>
      <xdr:row>120</xdr:row>
      <xdr:rowOff>182218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22338196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145</xdr:row>
      <xdr:rowOff>49695</xdr:rowOff>
    </xdr:from>
    <xdr:to>
      <xdr:col>1</xdr:col>
      <xdr:colOff>381001</xdr:colOff>
      <xdr:row>147</xdr:row>
      <xdr:rowOff>41413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27713608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149087</xdr:colOff>
      <xdr:row>109</xdr:row>
      <xdr:rowOff>33130</xdr:rowOff>
    </xdr:from>
    <xdr:to>
      <xdr:col>1</xdr:col>
      <xdr:colOff>414130</xdr:colOff>
      <xdr:row>111</xdr:row>
      <xdr:rowOff>107673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087" y="20458043"/>
          <a:ext cx="455543" cy="455543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103</xdr:row>
      <xdr:rowOff>190500</xdr:rowOff>
    </xdr:from>
    <xdr:to>
      <xdr:col>1</xdr:col>
      <xdr:colOff>389283</xdr:colOff>
      <xdr:row>106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83" y="35442525"/>
          <a:ext cx="382242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16567</xdr:colOff>
      <xdr:row>95</xdr:row>
      <xdr:rowOff>49695</xdr:rowOff>
    </xdr:from>
    <xdr:to>
      <xdr:col>1</xdr:col>
      <xdr:colOff>381002</xdr:colOff>
      <xdr:row>97</xdr:row>
      <xdr:rowOff>33130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7" y="17998108"/>
          <a:ext cx="364435" cy="364435"/>
        </a:xfrm>
        <a:prstGeom prst="rect">
          <a:avLst/>
        </a:prstGeom>
      </xdr:spPr>
    </xdr:pic>
    <xdr:clientData/>
  </xdr:twoCellAnchor>
  <xdr:twoCellAnchor editAs="oneCell">
    <xdr:from>
      <xdr:col>1</xdr:col>
      <xdr:colOff>33130</xdr:colOff>
      <xdr:row>90</xdr:row>
      <xdr:rowOff>57978</xdr:rowOff>
    </xdr:from>
    <xdr:to>
      <xdr:col>1</xdr:col>
      <xdr:colOff>405848</xdr:colOff>
      <xdr:row>92</xdr:row>
      <xdr:rowOff>49696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630" y="17244391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0</xdr:col>
      <xdr:colOff>190499</xdr:colOff>
      <xdr:row>84</xdr:row>
      <xdr:rowOff>57977</xdr:rowOff>
    </xdr:from>
    <xdr:to>
      <xdr:col>1</xdr:col>
      <xdr:colOff>389282</xdr:colOff>
      <xdr:row>86</xdr:row>
      <xdr:rowOff>66260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" y="31881002"/>
          <a:ext cx="389283" cy="389283"/>
        </a:xfrm>
        <a:prstGeom prst="rect">
          <a:avLst/>
        </a:prstGeom>
      </xdr:spPr>
    </xdr:pic>
    <xdr:clientData/>
  </xdr:twoCellAnchor>
  <xdr:twoCellAnchor editAs="oneCell">
    <xdr:from>
      <xdr:col>1</xdr:col>
      <xdr:colOff>49697</xdr:colOff>
      <xdr:row>127</xdr:row>
      <xdr:rowOff>49696</xdr:rowOff>
    </xdr:from>
    <xdr:to>
      <xdr:col>1</xdr:col>
      <xdr:colOff>397567</xdr:colOff>
      <xdr:row>129</xdr:row>
      <xdr:rowOff>16566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197" y="23903609"/>
          <a:ext cx="347870" cy="347870"/>
        </a:xfrm>
        <a:prstGeom prst="rect">
          <a:avLst/>
        </a:prstGeom>
      </xdr:spPr>
    </xdr:pic>
    <xdr:clientData/>
  </xdr:twoCellAnchor>
  <xdr:twoCellAnchor editAs="oneCell">
    <xdr:from>
      <xdr:col>0</xdr:col>
      <xdr:colOff>173935</xdr:colOff>
      <xdr:row>69</xdr:row>
      <xdr:rowOff>157369</xdr:rowOff>
    </xdr:from>
    <xdr:to>
      <xdr:col>1</xdr:col>
      <xdr:colOff>414132</xdr:colOff>
      <xdr:row>72</xdr:row>
      <xdr:rowOff>16566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935" y="14295782"/>
          <a:ext cx="430697" cy="43069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190500</xdr:rowOff>
    </xdr:from>
    <xdr:to>
      <xdr:col>1</xdr:col>
      <xdr:colOff>422413</xdr:colOff>
      <xdr:row>55</xdr:row>
      <xdr:rowOff>41413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5917525"/>
          <a:ext cx="423655" cy="422413"/>
        </a:xfrm>
        <a:prstGeom prst="rect">
          <a:avLst/>
        </a:prstGeom>
      </xdr:spPr>
    </xdr:pic>
    <xdr:clientData/>
  </xdr:twoCellAnchor>
  <xdr:twoCellAnchor editAs="oneCell">
    <xdr:from>
      <xdr:col>1</xdr:col>
      <xdr:colOff>66263</xdr:colOff>
      <xdr:row>48</xdr:row>
      <xdr:rowOff>57980</xdr:rowOff>
    </xdr:from>
    <xdr:to>
      <xdr:col>1</xdr:col>
      <xdr:colOff>430697</xdr:colOff>
      <xdr:row>50</xdr:row>
      <xdr:rowOff>41414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6763" y="4861893"/>
          <a:ext cx="364434" cy="364434"/>
        </a:xfrm>
        <a:prstGeom prst="rect">
          <a:avLst/>
        </a:prstGeom>
      </xdr:spPr>
    </xdr:pic>
    <xdr:clientData/>
  </xdr:twoCellAnchor>
  <xdr:twoCellAnchor editAs="oneCell">
    <xdr:from>
      <xdr:col>1</xdr:col>
      <xdr:colOff>74542</xdr:colOff>
      <xdr:row>15</xdr:row>
      <xdr:rowOff>41412</xdr:rowOff>
    </xdr:from>
    <xdr:to>
      <xdr:col>1</xdr:col>
      <xdr:colOff>331303</xdr:colOff>
      <xdr:row>18</xdr:row>
      <xdr:rowOff>164298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163" r="31861"/>
        <a:stretch/>
      </xdr:blipFill>
      <xdr:spPr>
        <a:xfrm>
          <a:off x="265042" y="18719937"/>
          <a:ext cx="256761" cy="694386"/>
        </a:xfrm>
        <a:prstGeom prst="rect">
          <a:avLst/>
        </a:prstGeom>
      </xdr:spPr>
    </xdr:pic>
    <xdr:clientData/>
  </xdr:twoCellAnchor>
  <xdr:twoCellAnchor editAs="oneCell">
    <xdr:from>
      <xdr:col>1</xdr:col>
      <xdr:colOff>8285</xdr:colOff>
      <xdr:row>24</xdr:row>
      <xdr:rowOff>49697</xdr:rowOff>
    </xdr:from>
    <xdr:to>
      <xdr:col>1</xdr:col>
      <xdr:colOff>335607</xdr:colOff>
      <xdr:row>26</xdr:row>
      <xdr:rowOff>41414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437" t="18360" r="23047" b="20702"/>
        <a:stretch/>
      </xdr:blipFill>
      <xdr:spPr>
        <a:xfrm>
          <a:off x="198785" y="7520610"/>
          <a:ext cx="327322" cy="372717"/>
        </a:xfrm>
        <a:prstGeom prst="rect">
          <a:avLst/>
        </a:prstGeom>
      </xdr:spPr>
    </xdr:pic>
    <xdr:clientData/>
  </xdr:twoCellAnchor>
  <xdr:twoCellAnchor editAs="oneCell">
    <xdr:from>
      <xdr:col>1</xdr:col>
      <xdr:colOff>24954</xdr:colOff>
      <xdr:row>38</xdr:row>
      <xdr:rowOff>66261</xdr:rowOff>
    </xdr:from>
    <xdr:to>
      <xdr:col>1</xdr:col>
      <xdr:colOff>419578</xdr:colOff>
      <xdr:row>41</xdr:row>
      <xdr:rowOff>82825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422" t="-1" r="11879" b="-16250"/>
        <a:stretch/>
      </xdr:blipFill>
      <xdr:spPr>
        <a:xfrm>
          <a:off x="215454" y="5822674"/>
          <a:ext cx="394624" cy="588064"/>
        </a:xfrm>
        <a:prstGeom prst="rect">
          <a:avLst/>
        </a:prstGeom>
      </xdr:spPr>
    </xdr:pic>
    <xdr:clientData/>
  </xdr:twoCellAnchor>
  <xdr:twoCellAnchor editAs="oneCell">
    <xdr:from>
      <xdr:col>0</xdr:col>
      <xdr:colOff>124240</xdr:colOff>
      <xdr:row>76</xdr:row>
      <xdr:rowOff>74545</xdr:rowOff>
    </xdr:from>
    <xdr:to>
      <xdr:col>1</xdr:col>
      <xdr:colOff>339588</xdr:colOff>
      <xdr:row>78</xdr:row>
      <xdr:rowOff>99393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240" y="13450958"/>
          <a:ext cx="405848" cy="405848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81</xdr:row>
      <xdr:rowOff>33131</xdr:rowOff>
    </xdr:from>
    <xdr:to>
      <xdr:col>1</xdr:col>
      <xdr:colOff>298175</xdr:colOff>
      <xdr:row>82</xdr:row>
      <xdr:rowOff>124240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5505044"/>
          <a:ext cx="281609" cy="281609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65</xdr:row>
      <xdr:rowOff>41413</xdr:rowOff>
    </xdr:from>
    <xdr:to>
      <xdr:col>1</xdr:col>
      <xdr:colOff>347871</xdr:colOff>
      <xdr:row>66</xdr:row>
      <xdr:rowOff>182218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07066" y="12465326"/>
          <a:ext cx="331305" cy="331305"/>
        </a:xfrm>
        <a:prstGeom prst="rect">
          <a:avLst/>
        </a:prstGeom>
      </xdr:spPr>
    </xdr:pic>
    <xdr:clientData/>
  </xdr:twoCellAnchor>
  <xdr:twoCellAnchor editAs="oneCell">
    <xdr:from>
      <xdr:col>1</xdr:col>
      <xdr:colOff>16566</xdr:colOff>
      <xdr:row>58</xdr:row>
      <xdr:rowOff>16566</xdr:rowOff>
    </xdr:from>
    <xdr:to>
      <xdr:col>1</xdr:col>
      <xdr:colOff>389284</xdr:colOff>
      <xdr:row>60</xdr:row>
      <xdr:rowOff>8284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6" y="11106979"/>
          <a:ext cx="372718" cy="372718"/>
        </a:xfrm>
        <a:prstGeom prst="rect">
          <a:avLst/>
        </a:prstGeom>
      </xdr:spPr>
    </xdr:pic>
    <xdr:clientData/>
  </xdr:twoCellAnchor>
  <xdr:twoCellAnchor editAs="oneCell">
    <xdr:from>
      <xdr:col>1</xdr:col>
      <xdr:colOff>41413</xdr:colOff>
      <xdr:row>132</xdr:row>
      <xdr:rowOff>24848</xdr:rowOff>
    </xdr:from>
    <xdr:to>
      <xdr:col>1</xdr:col>
      <xdr:colOff>397564</xdr:colOff>
      <xdr:row>133</xdr:row>
      <xdr:rowOff>190499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913" y="25021761"/>
          <a:ext cx="356151" cy="3561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104775</xdr:rowOff>
        </xdr:from>
        <xdr:to>
          <xdr:col>16</xdr:col>
          <xdr:colOff>933450</xdr:colOff>
          <xdr:row>2</xdr:row>
          <xdr:rowOff>180975</xdr:rowOff>
        </xdr:to>
        <xdr:sp macro="" textlink="">
          <xdr:nvSpPr>
            <xdr:cNvPr id="13385" name="Button 73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3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8EAADB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ailboatdata.com/sailboat/nordic-44/" TargetMode="External"/><Relationship Id="rId1" Type="http://schemas.openxmlformats.org/officeDocument/2006/relationships/hyperlink" Target="https://www.sailboatsforsale.com/listings/guatemala/guatemala/1982-vagabond-42-kaimi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2B670-8118-4BE8-9F48-D18C4C7BDF06}">
  <sheetPr codeName="Sheet1">
    <pageSetUpPr fitToPage="1"/>
  </sheetPr>
  <dimension ref="B2:L115"/>
  <sheetViews>
    <sheetView tabSelected="1" topLeftCell="A28" zoomScale="115" zoomScaleNormal="115" workbookViewId="0">
      <selection activeCell="E84" sqref="E84"/>
    </sheetView>
  </sheetViews>
  <sheetFormatPr defaultRowHeight="15" x14ac:dyDescent="0.25"/>
  <cols>
    <col min="1" max="1" width="2.85546875" customWidth="1"/>
    <col min="2" max="2" width="4.85546875" customWidth="1"/>
    <col min="3" max="3" width="33.5703125" customWidth="1"/>
    <col min="4" max="4" width="14.7109375" style="1" customWidth="1"/>
    <col min="5" max="5" width="13.7109375" style="1" customWidth="1"/>
    <col min="6" max="6" width="14.140625" style="1" customWidth="1"/>
    <col min="7" max="7" width="14.140625" style="73" customWidth="1"/>
    <col min="8" max="9" width="14.140625" customWidth="1"/>
    <col min="10" max="10" width="14.140625" style="64" customWidth="1"/>
    <col min="11" max="11" width="14.140625" customWidth="1"/>
    <col min="12" max="12" width="14.140625" style="69" customWidth="1"/>
    <col min="13" max="13" width="14.140625" customWidth="1"/>
    <col min="15" max="15" width="11.5703125" bestFit="1" customWidth="1"/>
    <col min="17" max="17" width="11.28515625" bestFit="1" customWidth="1"/>
  </cols>
  <sheetData>
    <row r="2" spans="2:12" ht="18.75" x14ac:dyDescent="0.3">
      <c r="B2" s="120" t="str">
        <f>CONCATENATE(D9, " ", D7, " - ", D13)</f>
        <v>1981 Nordic 44 - Rebak Marina, Langkawi</v>
      </c>
      <c r="C2" s="65"/>
      <c r="D2" s="66"/>
      <c r="E2" s="66"/>
      <c r="F2" s="66"/>
      <c r="G2" s="65"/>
      <c r="H2" s="65"/>
      <c r="I2" s="65"/>
      <c r="J2" s="65"/>
      <c r="K2" s="65"/>
      <c r="L2" s="65"/>
    </row>
    <row r="4" spans="2:12" x14ac:dyDescent="0.25">
      <c r="C4" t="s">
        <v>665</v>
      </c>
      <c r="D4" s="101" t="s">
        <v>664</v>
      </c>
      <c r="E4"/>
      <c r="F4"/>
      <c r="G4"/>
      <c r="J4"/>
      <c r="L4"/>
    </row>
    <row r="5" spans="2:12" x14ac:dyDescent="0.25">
      <c r="D5"/>
      <c r="E5"/>
      <c r="F5"/>
      <c r="G5"/>
      <c r="J5"/>
      <c r="L5"/>
    </row>
    <row r="6" spans="2:12" x14ac:dyDescent="0.25">
      <c r="C6" t="s">
        <v>476</v>
      </c>
      <c r="D6" s="130" t="s">
        <v>691</v>
      </c>
      <c r="E6" s="130"/>
      <c r="F6" s="130"/>
      <c r="G6" s="130"/>
      <c r="J6"/>
      <c r="L6"/>
    </row>
    <row r="7" spans="2:12" x14ac:dyDescent="0.25">
      <c r="C7" t="s">
        <v>477</v>
      </c>
      <c r="D7" s="130" t="s">
        <v>690</v>
      </c>
      <c r="E7" s="130"/>
      <c r="F7" s="130"/>
      <c r="G7" s="130"/>
      <c r="J7"/>
      <c r="L7"/>
    </row>
    <row r="8" spans="2:12" x14ac:dyDescent="0.25">
      <c r="C8" t="s">
        <v>475</v>
      </c>
      <c r="D8" s="130" t="s">
        <v>692</v>
      </c>
      <c r="E8" s="130"/>
      <c r="F8" s="130"/>
      <c r="G8" s="130"/>
      <c r="J8"/>
      <c r="L8"/>
    </row>
    <row r="9" spans="2:12" x14ac:dyDescent="0.25">
      <c r="C9" t="s">
        <v>478</v>
      </c>
      <c r="D9" s="130">
        <v>1981</v>
      </c>
      <c r="E9" s="130"/>
      <c r="F9" s="130"/>
      <c r="G9" s="130"/>
      <c r="J9"/>
      <c r="L9"/>
    </row>
    <row r="10" spans="2:12" x14ac:dyDescent="0.25">
      <c r="C10" t="s">
        <v>621</v>
      </c>
      <c r="D10" s="131" t="s">
        <v>693</v>
      </c>
      <c r="E10" s="131"/>
      <c r="F10" s="131"/>
      <c r="G10" s="131"/>
      <c r="J10"/>
      <c r="L10"/>
    </row>
    <row r="11" spans="2:12" x14ac:dyDescent="0.25">
      <c r="G11"/>
      <c r="J11"/>
      <c r="L11"/>
    </row>
    <row r="12" spans="2:12" x14ac:dyDescent="0.25">
      <c r="C12" t="s">
        <v>620</v>
      </c>
      <c r="D12" s="130" t="s">
        <v>519</v>
      </c>
      <c r="E12" s="130"/>
      <c r="F12" s="130"/>
      <c r="G12" s="130"/>
      <c r="J12"/>
      <c r="L12"/>
    </row>
    <row r="13" spans="2:12" x14ac:dyDescent="0.25">
      <c r="C13" t="s">
        <v>619</v>
      </c>
      <c r="D13" s="130" t="s">
        <v>694</v>
      </c>
      <c r="E13" s="130"/>
      <c r="F13" s="130"/>
      <c r="G13" s="130"/>
      <c r="J13"/>
      <c r="L13"/>
    </row>
    <row r="14" spans="2:12" x14ac:dyDescent="0.25">
      <c r="C14" t="s">
        <v>292</v>
      </c>
      <c r="D14" s="130" t="s">
        <v>704</v>
      </c>
      <c r="E14" s="130"/>
      <c r="F14" s="130"/>
      <c r="G14" s="130"/>
      <c r="J14"/>
      <c r="L14"/>
    </row>
    <row r="15" spans="2:12" x14ac:dyDescent="0.25">
      <c r="D15"/>
      <c r="E15"/>
      <c r="F15" s="64"/>
      <c r="G15"/>
      <c r="J15"/>
      <c r="L15"/>
    </row>
    <row r="16" spans="2:12" x14ac:dyDescent="0.25">
      <c r="B16" t="s">
        <v>501</v>
      </c>
      <c r="D16"/>
      <c r="E16"/>
      <c r="F16"/>
      <c r="G16"/>
      <c r="J16"/>
      <c r="L16"/>
    </row>
    <row r="17" spans="2:12" x14ac:dyDescent="0.25">
      <c r="C17" t="s">
        <v>546</v>
      </c>
      <c r="D17" s="129" t="s">
        <v>64</v>
      </c>
      <c r="E17" s="129"/>
      <c r="F17" s="129"/>
      <c r="G17" s="129"/>
      <c r="J17"/>
      <c r="L17"/>
    </row>
    <row r="18" spans="2:12" x14ac:dyDescent="0.25">
      <c r="C18" t="s">
        <v>402</v>
      </c>
      <c r="D18" s="129" t="s">
        <v>695</v>
      </c>
      <c r="E18" s="129"/>
      <c r="F18" s="129"/>
      <c r="G18" s="129"/>
      <c r="J18"/>
      <c r="L18"/>
    </row>
    <row r="19" spans="2:12" x14ac:dyDescent="0.25">
      <c r="C19" t="s">
        <v>432</v>
      </c>
      <c r="D19" s="129" t="s">
        <v>696</v>
      </c>
      <c r="E19" s="129"/>
      <c r="F19" s="129"/>
      <c r="G19" s="129"/>
      <c r="J19"/>
      <c r="L19"/>
    </row>
    <row r="20" spans="2:12" x14ac:dyDescent="0.25">
      <c r="C20" t="s">
        <v>502</v>
      </c>
      <c r="D20" s="129" t="s">
        <v>697</v>
      </c>
      <c r="E20" s="129"/>
      <c r="F20" s="129"/>
      <c r="G20" s="129"/>
      <c r="J20"/>
      <c r="L20"/>
    </row>
    <row r="21" spans="2:12" x14ac:dyDescent="0.25">
      <c r="C21" t="s">
        <v>503</v>
      </c>
      <c r="D21" s="129" t="s">
        <v>698</v>
      </c>
      <c r="E21" s="129"/>
      <c r="F21" s="129"/>
      <c r="G21" s="129"/>
      <c r="J21"/>
      <c r="L21"/>
    </row>
    <row r="22" spans="2:12" x14ac:dyDescent="0.25">
      <c r="C22" t="s">
        <v>504</v>
      </c>
      <c r="D22" s="129" t="s">
        <v>699</v>
      </c>
      <c r="E22" s="129"/>
      <c r="F22" s="129"/>
      <c r="G22" s="129"/>
      <c r="J22"/>
      <c r="L22"/>
    </row>
    <row r="23" spans="2:12" x14ac:dyDescent="0.25">
      <c r="C23" t="s">
        <v>625</v>
      </c>
      <c r="D23" s="129" t="s">
        <v>700</v>
      </c>
      <c r="E23" s="129"/>
      <c r="F23" s="129"/>
      <c r="G23" s="129"/>
      <c r="J23"/>
      <c r="L23"/>
    </row>
    <row r="24" spans="2:12" x14ac:dyDescent="0.25">
      <c r="G24"/>
      <c r="J24"/>
      <c r="L24"/>
    </row>
    <row r="25" spans="2:12" x14ac:dyDescent="0.25">
      <c r="C25" t="s">
        <v>701</v>
      </c>
      <c r="D25" s="129" t="s">
        <v>702</v>
      </c>
      <c r="E25" s="129"/>
      <c r="F25" s="129"/>
      <c r="G25" s="129"/>
      <c r="J25"/>
      <c r="L25"/>
    </row>
    <row r="26" spans="2:12" x14ac:dyDescent="0.25">
      <c r="G26"/>
      <c r="J26"/>
      <c r="L26"/>
    </row>
    <row r="27" spans="2:12" ht="15.75" thickBot="1" x14ac:dyDescent="0.3">
      <c r="B27" t="s">
        <v>480</v>
      </c>
      <c r="G27"/>
      <c r="J27"/>
      <c r="L27"/>
    </row>
    <row r="28" spans="2:12" ht="15.75" thickBot="1" x14ac:dyDescent="0.3">
      <c r="C28" t="s">
        <v>624</v>
      </c>
      <c r="D28" s="104">
        <v>44</v>
      </c>
      <c r="E28" s="72" t="s">
        <v>531</v>
      </c>
      <c r="G28"/>
      <c r="J28"/>
      <c r="L28"/>
    </row>
    <row r="29" spans="2:12" x14ac:dyDescent="0.25">
      <c r="C29" t="s">
        <v>623</v>
      </c>
      <c r="D29" s="103">
        <v>13</v>
      </c>
      <c r="E29" t="s">
        <v>531</v>
      </c>
      <c r="G29"/>
      <c r="J29"/>
      <c r="L29"/>
    </row>
    <row r="30" spans="2:12" x14ac:dyDescent="0.25">
      <c r="C30" t="s">
        <v>645</v>
      </c>
      <c r="D30" s="93">
        <v>7</v>
      </c>
      <c r="E30" s="93">
        <v>7</v>
      </c>
      <c r="F30" s="1" t="s">
        <v>531</v>
      </c>
      <c r="G30"/>
      <c r="J30"/>
      <c r="L30"/>
    </row>
    <row r="31" spans="2:12" x14ac:dyDescent="0.25">
      <c r="C31" t="s">
        <v>622</v>
      </c>
      <c r="D31" s="92">
        <v>10600</v>
      </c>
      <c r="E31" t="s">
        <v>532</v>
      </c>
      <c r="G31"/>
      <c r="J31"/>
      <c r="L31"/>
    </row>
    <row r="32" spans="2:12" x14ac:dyDescent="0.25">
      <c r="C32" t="s">
        <v>627</v>
      </c>
      <c r="D32" s="92">
        <v>290</v>
      </c>
      <c r="E32" t="s">
        <v>626</v>
      </c>
      <c r="G32"/>
      <c r="J32"/>
      <c r="L32"/>
    </row>
    <row r="33" spans="2:12" x14ac:dyDescent="0.25">
      <c r="C33" t="s">
        <v>628</v>
      </c>
      <c r="D33" s="92">
        <v>580</v>
      </c>
      <c r="E33" t="s">
        <v>626</v>
      </c>
      <c r="G33"/>
      <c r="J33"/>
      <c r="L33"/>
    </row>
    <row r="34" spans="2:12" x14ac:dyDescent="0.25">
      <c r="G34"/>
      <c r="J34"/>
      <c r="L34"/>
    </row>
    <row r="35" spans="2:12" x14ac:dyDescent="0.25">
      <c r="B35" t="s">
        <v>479</v>
      </c>
      <c r="G35"/>
      <c r="J35"/>
      <c r="L35"/>
    </row>
    <row r="36" spans="2:12" x14ac:dyDescent="0.25">
      <c r="C36" t="s">
        <v>481</v>
      </c>
      <c r="D36" s="94">
        <v>18.12</v>
      </c>
      <c r="G36"/>
      <c r="J36"/>
      <c r="L36"/>
    </row>
    <row r="37" spans="2:12" x14ac:dyDescent="0.25">
      <c r="C37" t="s">
        <v>703</v>
      </c>
      <c r="D37" s="94">
        <v>40.200000000000003</v>
      </c>
      <c r="G37"/>
      <c r="J37"/>
      <c r="L37"/>
    </row>
    <row r="38" spans="2:12" x14ac:dyDescent="0.25">
      <c r="C38" t="s">
        <v>498</v>
      </c>
      <c r="D38" s="94">
        <v>233.6</v>
      </c>
      <c r="G38"/>
      <c r="J38"/>
      <c r="L38"/>
    </row>
    <row r="39" spans="2:12" x14ac:dyDescent="0.25">
      <c r="C39" t="s">
        <v>499</v>
      </c>
      <c r="D39" s="94">
        <v>31.4</v>
      </c>
      <c r="G39"/>
      <c r="J39"/>
      <c r="L39"/>
    </row>
    <row r="40" spans="2:12" x14ac:dyDescent="0.25">
      <c r="C40" t="s">
        <v>500</v>
      </c>
      <c r="D40" s="94">
        <v>1.81</v>
      </c>
      <c r="G40"/>
    </row>
    <row r="41" spans="2:12" x14ac:dyDescent="0.25">
      <c r="D41"/>
      <c r="G41"/>
    </row>
    <row r="42" spans="2:12" x14ac:dyDescent="0.25">
      <c r="B42" s="65" t="s">
        <v>538</v>
      </c>
      <c r="C42" s="65"/>
      <c r="D42" s="66"/>
      <c r="E42" s="66"/>
      <c r="F42" s="66"/>
      <c r="G42" s="65"/>
      <c r="H42" s="65"/>
      <c r="I42" s="65"/>
      <c r="J42" s="65"/>
      <c r="K42" s="65"/>
      <c r="L42" s="65"/>
    </row>
    <row r="44" spans="2:12" x14ac:dyDescent="0.25">
      <c r="D44" s="119" t="s">
        <v>661</v>
      </c>
      <c r="E44" s="119" t="s">
        <v>663</v>
      </c>
      <c r="F44" s="119" t="s">
        <v>662</v>
      </c>
    </row>
    <row r="46" spans="2:12" x14ac:dyDescent="0.25">
      <c r="C46" t="s">
        <v>537</v>
      </c>
      <c r="D46" s="84">
        <v>55000</v>
      </c>
      <c r="E46" s="96">
        <v>45327</v>
      </c>
      <c r="F46" s="128">
        <f>D46- D46 * Parameters!D38</f>
        <v>49500</v>
      </c>
      <c r="G46" s="102"/>
    </row>
    <row r="47" spans="2:12" x14ac:dyDescent="0.25">
      <c r="D47"/>
      <c r="E47"/>
      <c r="F47"/>
      <c r="I47" s="72"/>
      <c r="J47" s="78"/>
      <c r="K47" s="78"/>
      <c r="L47" s="78"/>
    </row>
    <row r="48" spans="2:12" x14ac:dyDescent="0.25">
      <c r="B48" s="65" t="s">
        <v>539</v>
      </c>
      <c r="C48" s="65"/>
      <c r="D48" s="66"/>
      <c r="E48" s="66"/>
      <c r="F48" s="66"/>
      <c r="G48" s="65"/>
      <c r="H48" s="65"/>
      <c r="I48" s="65"/>
      <c r="J48" s="65"/>
      <c r="K48" s="65"/>
      <c r="L48" s="65"/>
    </row>
    <row r="49" spans="3:12" ht="15.75" thickBot="1" x14ac:dyDescent="0.3"/>
    <row r="50" spans="3:12" ht="15.75" thickBot="1" x14ac:dyDescent="0.3">
      <c r="C50" t="s">
        <v>540</v>
      </c>
      <c r="D50" s="105" t="s">
        <v>470</v>
      </c>
    </row>
    <row r="51" spans="3:12" x14ac:dyDescent="0.25">
      <c r="D51"/>
    </row>
    <row r="52" spans="3:12" x14ac:dyDescent="0.25">
      <c r="C52" t="s">
        <v>676</v>
      </c>
      <c r="D52" s="83">
        <v>50000</v>
      </c>
      <c r="E52" s="125" t="s">
        <v>682</v>
      </c>
      <c r="F52" s="126">
        <f>($D$46-$D$52)/($D$46/100)/100</f>
        <v>9.0909090909090912E-2</v>
      </c>
      <c r="I52" s="72"/>
      <c r="K52" s="102"/>
      <c r="L52"/>
    </row>
    <row r="53" spans="3:12" x14ac:dyDescent="0.25">
      <c r="D53"/>
      <c r="E53" s="127"/>
      <c r="F53" s="127"/>
    </row>
    <row r="54" spans="3:12" x14ac:dyDescent="0.25">
      <c r="C54" t="s">
        <v>667</v>
      </c>
      <c r="D54" s="71">
        <f ca="1">Survey!$Q$149</f>
        <v>15730</v>
      </c>
      <c r="E54" s="125" t="s">
        <v>681</v>
      </c>
      <c r="F54" s="128">
        <f ca="1">SumRepairs(Survey!$H$15:$Q$147)</f>
        <v>4000</v>
      </c>
      <c r="I54" s="72"/>
      <c r="J54" s="78"/>
      <c r="K54" s="78"/>
      <c r="L54" s="78"/>
    </row>
    <row r="55" spans="3:12" x14ac:dyDescent="0.25">
      <c r="D55"/>
      <c r="E55"/>
      <c r="F55"/>
      <c r="I55" s="72"/>
      <c r="J55" s="78"/>
      <c r="K55" s="78"/>
      <c r="L55" s="78"/>
    </row>
    <row r="56" spans="3:12" x14ac:dyDescent="0.25">
      <c r="C56" t="s">
        <v>679</v>
      </c>
      <c r="D56" s="71">
        <f ca="1">Customization!$Q$31</f>
        <v>3990.0000000000005</v>
      </c>
      <c r="E56"/>
      <c r="F56"/>
      <c r="I56" s="72"/>
      <c r="J56" s="78"/>
      <c r="K56" s="78"/>
      <c r="L56" s="78"/>
    </row>
    <row r="57" spans="3:12" x14ac:dyDescent="0.25">
      <c r="C57" t="s">
        <v>678</v>
      </c>
      <c r="D57" s="71">
        <f ca="1">Customization!$Q$50</f>
        <v>13150</v>
      </c>
      <c r="E57"/>
      <c r="F57"/>
      <c r="I57" s="72"/>
      <c r="J57" s="78"/>
      <c r="K57" s="78"/>
      <c r="L57" s="78"/>
    </row>
    <row r="58" spans="3:12" x14ac:dyDescent="0.25">
      <c r="C58" t="s">
        <v>677</v>
      </c>
      <c r="D58" s="71">
        <f ca="1">Customization!$Q$56</f>
        <v>2000</v>
      </c>
      <c r="E58"/>
      <c r="F58"/>
      <c r="I58" s="72"/>
      <c r="J58" s="78"/>
      <c r="K58" s="78"/>
      <c r="L58" s="78"/>
    </row>
    <row r="59" spans="3:12" x14ac:dyDescent="0.25">
      <c r="D59"/>
      <c r="E59"/>
      <c r="F59"/>
      <c r="H59" s="81"/>
      <c r="I59" s="72"/>
      <c r="J59" s="78"/>
      <c r="K59" s="78"/>
      <c r="L59" s="78"/>
    </row>
    <row r="60" spans="3:12" x14ac:dyDescent="0.25">
      <c r="C60" t="s">
        <v>674</v>
      </c>
      <c r="D60" s="71">
        <f ca="1">Customization!$Q$73</f>
        <v>3140</v>
      </c>
      <c r="E60"/>
      <c r="F60"/>
      <c r="H60" s="81"/>
      <c r="I60" s="72"/>
      <c r="J60" s="78"/>
      <c r="K60" s="78"/>
    </row>
    <row r="61" spans="3:12" x14ac:dyDescent="0.25">
      <c r="D61"/>
      <c r="E61"/>
      <c r="F61"/>
      <c r="I61" s="72"/>
      <c r="K61" s="78"/>
    </row>
    <row r="62" spans="3:12" x14ac:dyDescent="0.25">
      <c r="C62" t="s">
        <v>710</v>
      </c>
      <c r="D62" s="83">
        <v>0</v>
      </c>
      <c r="E62"/>
      <c r="I62" s="72"/>
      <c r="J62" s="78"/>
      <c r="K62" s="78"/>
      <c r="L62"/>
    </row>
    <row r="63" spans="3:12" x14ac:dyDescent="0.25">
      <c r="C63" t="s">
        <v>688</v>
      </c>
      <c r="D63" s="71">
        <f>$D$52*$F$63</f>
        <v>2500</v>
      </c>
      <c r="E63" s="125" t="s">
        <v>689</v>
      </c>
      <c r="F63" s="95">
        <v>0.05</v>
      </c>
      <c r="H63" s="81"/>
      <c r="I63" s="72"/>
      <c r="J63" s="78"/>
      <c r="K63" s="78"/>
      <c r="L63" s="78"/>
    </row>
    <row r="64" spans="3:12" x14ac:dyDescent="0.25">
      <c r="C64" t="s">
        <v>497</v>
      </c>
      <c r="D64" s="83">
        <v>0</v>
      </c>
      <c r="E64"/>
      <c r="I64" s="72"/>
      <c r="J64" s="78"/>
      <c r="K64" s="78"/>
      <c r="L64"/>
    </row>
    <row r="65" spans="2:12" x14ac:dyDescent="0.25">
      <c r="D65"/>
      <c r="E65"/>
      <c r="F65"/>
      <c r="H65" s="81"/>
      <c r="I65" s="72"/>
      <c r="J65" s="78"/>
      <c r="K65" s="78"/>
      <c r="L65" s="78"/>
    </row>
    <row r="66" spans="2:12" ht="15.75" thickBot="1" x14ac:dyDescent="0.3">
      <c r="C66" s="122" t="s">
        <v>675</v>
      </c>
      <c r="D66" s="82">
        <f ca="1">SUM(D52:D65)</f>
        <v>90510</v>
      </c>
      <c r="E66" s="123"/>
      <c r="F66" s="124">
        <f ca="1">D66*0.87</f>
        <v>78743.7</v>
      </c>
      <c r="I66" s="72"/>
      <c r="K66" s="77"/>
      <c r="L66" s="77"/>
    </row>
    <row r="67" spans="2:12" ht="15.75" thickTop="1" x14ac:dyDescent="0.25">
      <c r="D67" s="85"/>
      <c r="E67" s="85"/>
      <c r="F67" s="85"/>
      <c r="G67"/>
      <c r="J67"/>
      <c r="L67"/>
    </row>
    <row r="68" spans="2:12" x14ac:dyDescent="0.25">
      <c r="B68" s="65" t="s">
        <v>680</v>
      </c>
      <c r="C68" s="65"/>
      <c r="D68" s="66"/>
      <c r="E68" s="66"/>
      <c r="F68" s="66"/>
      <c r="G68" s="65"/>
      <c r="H68" s="65"/>
      <c r="I68" s="65"/>
      <c r="J68" s="65"/>
      <c r="K68" s="65"/>
      <c r="L68" s="65"/>
    </row>
    <row r="70" spans="2:12" x14ac:dyDescent="0.25">
      <c r="B70" t="s">
        <v>541</v>
      </c>
      <c r="D70"/>
      <c r="E70" s="74"/>
      <c r="F70" s="74"/>
      <c r="G70"/>
      <c r="J70"/>
      <c r="K70" s="79"/>
      <c r="L70" s="79"/>
    </row>
    <row r="71" spans="2:12" x14ac:dyDescent="0.25">
      <c r="C71" t="s">
        <v>521</v>
      </c>
      <c r="D71" s="95">
        <v>0.8</v>
      </c>
      <c r="E71" s="75"/>
      <c r="F71" s="75"/>
      <c r="G71"/>
      <c r="J71"/>
      <c r="K71" s="80"/>
      <c r="L71" s="80"/>
    </row>
    <row r="72" spans="2:12" x14ac:dyDescent="0.25">
      <c r="C72" t="s">
        <v>522</v>
      </c>
      <c r="D72" s="95">
        <v>0.8</v>
      </c>
      <c r="E72" s="75"/>
      <c r="F72" s="75"/>
      <c r="G72"/>
      <c r="J72"/>
      <c r="K72" s="80"/>
      <c r="L72" s="80"/>
    </row>
    <row r="73" spans="2:12" x14ac:dyDescent="0.25">
      <c r="C73" t="s">
        <v>523</v>
      </c>
      <c r="D73" s="95">
        <v>0.8</v>
      </c>
      <c r="E73" s="75"/>
      <c r="F73" s="75"/>
      <c r="G73"/>
      <c r="J73"/>
      <c r="K73" s="80"/>
      <c r="L73" s="80"/>
    </row>
    <row r="74" spans="2:12" x14ac:dyDescent="0.25">
      <c r="C74" t="s">
        <v>533</v>
      </c>
      <c r="D74" s="95">
        <v>0.8</v>
      </c>
      <c r="E74" s="75"/>
      <c r="F74" s="75"/>
      <c r="G74"/>
      <c r="J74"/>
      <c r="K74" s="80"/>
      <c r="L74" s="80"/>
    </row>
    <row r="75" spans="2:12" x14ac:dyDescent="0.25">
      <c r="C75" t="s">
        <v>525</v>
      </c>
      <c r="D75" s="95">
        <v>0.7</v>
      </c>
      <c r="E75" s="75"/>
      <c r="F75" s="75"/>
      <c r="G75"/>
      <c r="J75"/>
      <c r="K75" s="80"/>
      <c r="L75" s="80"/>
    </row>
    <row r="76" spans="2:12" x14ac:dyDescent="0.25">
      <c r="C76" t="s">
        <v>479</v>
      </c>
      <c r="D76" s="95">
        <v>0.8</v>
      </c>
      <c r="E76" s="75"/>
      <c r="F76" s="75"/>
      <c r="G76"/>
      <c r="J76"/>
      <c r="K76" s="80"/>
      <c r="L76" s="80"/>
    </row>
    <row r="77" spans="2:12" x14ac:dyDescent="0.25">
      <c r="C77" t="s">
        <v>524</v>
      </c>
      <c r="D77" s="95">
        <v>0.7</v>
      </c>
      <c r="E77" s="75"/>
      <c r="F77" s="75"/>
      <c r="G77"/>
      <c r="J77"/>
      <c r="K77" s="80"/>
      <c r="L77" s="80"/>
    </row>
    <row r="78" spans="2:12" x14ac:dyDescent="0.25">
      <c r="C78" t="s">
        <v>526</v>
      </c>
      <c r="D78" s="95">
        <v>0.6</v>
      </c>
      <c r="E78" s="75"/>
      <c r="F78" s="75"/>
      <c r="G78"/>
      <c r="J78"/>
      <c r="K78" s="80"/>
      <c r="L78" s="80"/>
    </row>
    <row r="79" spans="2:12" x14ac:dyDescent="0.25">
      <c r="C79" t="s">
        <v>528</v>
      </c>
      <c r="D79" s="95">
        <v>0.7</v>
      </c>
      <c r="E79" s="75"/>
      <c r="F79" s="75"/>
      <c r="G79"/>
      <c r="J79"/>
      <c r="K79" s="80"/>
      <c r="L79" s="80"/>
    </row>
    <row r="80" spans="2:12" x14ac:dyDescent="0.25">
      <c r="C80" t="s">
        <v>529</v>
      </c>
      <c r="D80" s="95">
        <v>0.7</v>
      </c>
      <c r="E80" s="75"/>
      <c r="F80" s="75"/>
      <c r="G80"/>
      <c r="J80"/>
      <c r="K80" s="80"/>
      <c r="L80" s="80"/>
    </row>
    <row r="81" spans="2:12" x14ac:dyDescent="0.25">
      <c r="C81" t="s">
        <v>545</v>
      </c>
      <c r="D81" s="95">
        <v>0.7</v>
      </c>
      <c r="E81" s="75"/>
      <c r="F81" s="75"/>
      <c r="G81"/>
      <c r="J81"/>
      <c r="K81" s="80"/>
      <c r="L81" s="80"/>
    </row>
    <row r="82" spans="2:12" x14ac:dyDescent="0.25">
      <c r="C82" t="s">
        <v>543</v>
      </c>
      <c r="D82" s="95">
        <v>0.7</v>
      </c>
      <c r="E82" s="75"/>
      <c r="F82" s="75"/>
      <c r="G82"/>
      <c r="J82"/>
      <c r="K82" s="80"/>
      <c r="L82" s="80"/>
    </row>
    <row r="83" spans="2:12" x14ac:dyDescent="0.25">
      <c r="C83" t="s">
        <v>527</v>
      </c>
      <c r="D83" s="95">
        <v>0.8</v>
      </c>
      <c r="E83" s="75"/>
      <c r="F83" s="75"/>
      <c r="G83"/>
      <c r="J83"/>
      <c r="K83" s="80"/>
      <c r="L83" s="80"/>
    </row>
    <row r="84" spans="2:12" x14ac:dyDescent="0.25">
      <c r="C84" t="s">
        <v>530</v>
      </c>
      <c r="D84" s="95">
        <v>0.9</v>
      </c>
      <c r="E84" s="75"/>
      <c r="F84" s="75"/>
      <c r="G84"/>
      <c r="J84"/>
      <c r="K84" s="80"/>
      <c r="L84" s="80"/>
    </row>
    <row r="85" spans="2:12" x14ac:dyDescent="0.25">
      <c r="D85"/>
      <c r="E85" s="76"/>
      <c r="F85" s="76"/>
      <c r="G85"/>
      <c r="I85" s="72"/>
      <c r="J85"/>
      <c r="K85" s="78"/>
      <c r="L85" s="78"/>
    </row>
    <row r="86" spans="2:12" x14ac:dyDescent="0.25">
      <c r="B86" t="s">
        <v>666</v>
      </c>
      <c r="D86"/>
      <c r="E86" s="76"/>
      <c r="F86" s="76"/>
      <c r="G86"/>
      <c r="I86" s="72"/>
      <c r="J86" s="78"/>
      <c r="K86" s="78"/>
      <c r="L86" s="78"/>
    </row>
    <row r="87" spans="2:12" x14ac:dyDescent="0.25">
      <c r="C87" t="s">
        <v>449</v>
      </c>
      <c r="D87" s="87">
        <f ca="1">CalculateScore(Parameters!$D$21:$D$35,$D$71:$D$84)</f>
        <v>7.5</v>
      </c>
      <c r="E87" s="76"/>
      <c r="F87" s="76"/>
      <c r="G87"/>
      <c r="I87" s="72"/>
      <c r="J87" s="78"/>
      <c r="K87" s="78"/>
      <c r="L87" s="78"/>
    </row>
    <row r="88" spans="2:12" x14ac:dyDescent="0.25">
      <c r="C88" t="s">
        <v>542</v>
      </c>
      <c r="D88" s="87">
        <f ca="1">CalculateScore(Parameters!$E$21:$E$35,$D$71:$D$84)</f>
        <v>7.7142857142857135</v>
      </c>
      <c r="E88" s="76"/>
      <c r="F88" s="76"/>
      <c r="G88"/>
      <c r="I88" s="72"/>
      <c r="J88" s="78"/>
      <c r="K88" s="78"/>
      <c r="L88" s="78"/>
    </row>
    <row r="89" spans="2:12" x14ac:dyDescent="0.25">
      <c r="C89" t="s">
        <v>479</v>
      </c>
      <c r="D89" s="87">
        <f ca="1">CalculateScore(Parameters!$F$21:$F$35,$D$71:$D$84)</f>
        <v>7.8095238095238102</v>
      </c>
      <c r="E89" s="76"/>
      <c r="F89" s="76"/>
      <c r="G89"/>
      <c r="I89" s="72"/>
      <c r="J89" s="78"/>
      <c r="K89" s="78"/>
      <c r="L89" s="78"/>
    </row>
    <row r="90" spans="2:12" x14ac:dyDescent="0.25">
      <c r="C90" t="s">
        <v>544</v>
      </c>
      <c r="D90" s="87">
        <f ca="1">CalculateScore(Parameters!$G$21:$G$35,$D$71:$D$84)</f>
        <v>7.26</v>
      </c>
      <c r="E90" s="76"/>
      <c r="F90" s="76"/>
      <c r="G90"/>
      <c r="I90" s="72"/>
      <c r="J90" s="88"/>
      <c r="K90" s="78"/>
      <c r="L90" s="78"/>
    </row>
    <row r="91" spans="2:12" x14ac:dyDescent="0.25">
      <c r="C91" t="s">
        <v>534</v>
      </c>
      <c r="D91" s="87">
        <f ca="1">CalculateScore(Parameters!$H$21:$H$35,$D$71:$D$84)</f>
        <v>8.0740740740740726</v>
      </c>
      <c r="E91" s="76"/>
      <c r="F91" s="76"/>
      <c r="G91"/>
      <c r="I91" s="72"/>
      <c r="J91" s="78"/>
      <c r="K91" s="78"/>
      <c r="L91" s="78"/>
    </row>
    <row r="92" spans="2:12" x14ac:dyDescent="0.25">
      <c r="D92" s="76"/>
      <c r="E92" s="76"/>
      <c r="F92" s="76"/>
      <c r="I92" s="72"/>
      <c r="J92" s="78"/>
      <c r="K92" s="78"/>
      <c r="L92" s="78"/>
    </row>
    <row r="93" spans="2:12" x14ac:dyDescent="0.25">
      <c r="G93"/>
      <c r="J93"/>
      <c r="L93"/>
    </row>
    <row r="94" spans="2:12" x14ac:dyDescent="0.25">
      <c r="K94" s="9"/>
      <c r="L94"/>
    </row>
    <row r="101" spans="3:12" x14ac:dyDescent="0.25">
      <c r="C101" s="13"/>
      <c r="D101"/>
      <c r="E101"/>
      <c r="F101"/>
      <c r="L101"/>
    </row>
    <row r="102" spans="3:12" x14ac:dyDescent="0.25">
      <c r="C102" s="13"/>
      <c r="D102"/>
      <c r="E102"/>
      <c r="F102"/>
      <c r="L102"/>
    </row>
    <row r="103" spans="3:12" x14ac:dyDescent="0.25">
      <c r="C103" s="13"/>
      <c r="D103"/>
      <c r="E103"/>
      <c r="F103"/>
      <c r="L103"/>
    </row>
    <row r="104" spans="3:12" x14ac:dyDescent="0.25">
      <c r="D104"/>
      <c r="E104"/>
      <c r="F104"/>
      <c r="L104"/>
    </row>
    <row r="105" spans="3:12" x14ac:dyDescent="0.25">
      <c r="D105"/>
      <c r="E105"/>
      <c r="F105"/>
      <c r="L105"/>
    </row>
    <row r="106" spans="3:12" x14ac:dyDescent="0.25">
      <c r="D106"/>
      <c r="E106"/>
      <c r="F106"/>
      <c r="L106"/>
    </row>
    <row r="107" spans="3:12" x14ac:dyDescent="0.25">
      <c r="D107"/>
      <c r="E107"/>
      <c r="F107"/>
      <c r="L107"/>
    </row>
    <row r="108" spans="3:12" x14ac:dyDescent="0.25">
      <c r="D108"/>
      <c r="E108"/>
      <c r="F108"/>
      <c r="L108"/>
    </row>
    <row r="109" spans="3:12" x14ac:dyDescent="0.25">
      <c r="D109"/>
      <c r="E109"/>
      <c r="F109"/>
      <c r="G109"/>
      <c r="J109"/>
      <c r="L109"/>
    </row>
    <row r="110" spans="3:12" x14ac:dyDescent="0.25">
      <c r="D110"/>
      <c r="E110"/>
      <c r="F110"/>
      <c r="G110"/>
      <c r="J110"/>
      <c r="L110"/>
    </row>
    <row r="111" spans="3:12" x14ac:dyDescent="0.25">
      <c r="D111"/>
      <c r="E111"/>
      <c r="F111"/>
      <c r="G111"/>
      <c r="J111"/>
      <c r="L111"/>
    </row>
    <row r="112" spans="3:12" x14ac:dyDescent="0.25">
      <c r="D112"/>
      <c r="E112"/>
      <c r="F112"/>
      <c r="G112"/>
      <c r="J112"/>
      <c r="L112"/>
    </row>
    <row r="113" customFormat="1" x14ac:dyDescent="0.25"/>
    <row r="114" customFormat="1" x14ac:dyDescent="0.25"/>
    <row r="115" customFormat="1" x14ac:dyDescent="0.25"/>
  </sheetData>
  <mergeCells count="16">
    <mergeCell ref="D12:G12"/>
    <mergeCell ref="D13:G13"/>
    <mergeCell ref="D14:G14"/>
    <mergeCell ref="D17:G17"/>
    <mergeCell ref="D18:G18"/>
    <mergeCell ref="D6:G6"/>
    <mergeCell ref="D7:G7"/>
    <mergeCell ref="D8:G8"/>
    <mergeCell ref="D9:G9"/>
    <mergeCell ref="D10:G10"/>
    <mergeCell ref="D25:G25"/>
    <mergeCell ref="D19:G19"/>
    <mergeCell ref="D20:G20"/>
    <mergeCell ref="D21:G21"/>
    <mergeCell ref="D22:G22"/>
    <mergeCell ref="D23:G23"/>
  </mergeCells>
  <conditionalFormatting sqref="D53 D50:D51">
    <cfRule type="cellIs" dxfId="346" priority="910" operator="equal">
      <formula>"Replace"</formula>
    </cfRule>
  </conditionalFormatting>
  <conditionalFormatting sqref="D53 D50:D51">
    <cfRule type="cellIs" dxfId="345" priority="907" operator="equal">
      <formula>"Unknown"</formula>
    </cfRule>
  </conditionalFormatting>
  <conditionalFormatting sqref="D53 D50:D51">
    <cfRule type="cellIs" dxfId="344" priority="908" operator="equal">
      <formula>"Good"</formula>
    </cfRule>
  </conditionalFormatting>
  <conditionalFormatting sqref="D53 D50:D51">
    <cfRule type="cellIs" dxfId="343" priority="909" operator="equal">
      <formula>"Repair"</formula>
    </cfRule>
    <cfRule type="cellIs" dxfId="342" priority="911" operator="equal">
      <formula>"Dispose"</formula>
    </cfRule>
  </conditionalFormatting>
  <dataValidations count="1">
    <dataValidation type="list" allowBlank="1" showInputMessage="1" showErrorMessage="1" sqref="D53 D50:D51" xr:uid="{544E49BC-EEAF-46C9-8C4F-E69DDA85E586}">
      <formula1>AssesmentTargets</formula1>
    </dataValidation>
  </dataValidations>
  <hyperlinks>
    <hyperlink ref="D4" r:id="rId1" xr:uid="{F068582C-BC74-4F08-BC8D-0CEBF07F58BA}"/>
    <hyperlink ref="D10" r:id="rId2" xr:uid="{43C6A3ED-12C1-4685-9BF7-80A4EFFA81B5}"/>
  </hyperlinks>
  <pageMargins left="0.70866141732283472" right="0.70866141732283472" top="0.74803149606299213" bottom="0.74803149606299213" header="0.31496062992125984" footer="0.31496062992125984"/>
  <pageSetup paperSize="8" scale="26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34E2-EB1C-4472-988A-F18A3DBB3F98}">
  <sheetPr codeName="Sheet3">
    <pageSetUpPr fitToPage="1"/>
  </sheetPr>
  <dimension ref="B2:S172"/>
  <sheetViews>
    <sheetView topLeftCell="A100" workbookViewId="0">
      <selection activeCell="L145" sqref="L145"/>
    </sheetView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style="118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  <col min="18" max="18" width="3.28515625" customWidth="1"/>
    <col min="19" max="19" width="14.140625" style="138" customWidth="1"/>
  </cols>
  <sheetData>
    <row r="2" spans="2:19" x14ac:dyDescent="0.25">
      <c r="C2" s="89" t="s">
        <v>548</v>
      </c>
      <c r="D2" s="1" t="s">
        <v>550</v>
      </c>
      <c r="H2" s="118" t="s">
        <v>482</v>
      </c>
    </row>
    <row r="3" spans="2:19" x14ac:dyDescent="0.25">
      <c r="C3" s="90" t="s">
        <v>549</v>
      </c>
      <c r="D3" s="1" t="s">
        <v>590</v>
      </c>
      <c r="H3" s="118" t="s">
        <v>483</v>
      </c>
    </row>
    <row r="4" spans="2:19" x14ac:dyDescent="0.25">
      <c r="C4" s="89" t="s">
        <v>472</v>
      </c>
      <c r="D4" s="1" t="s">
        <v>591</v>
      </c>
      <c r="H4" s="118" t="s">
        <v>484</v>
      </c>
    </row>
    <row r="5" spans="2:19" x14ac:dyDescent="0.25">
      <c r="C5" s="89" t="s">
        <v>487</v>
      </c>
      <c r="D5" s="1" t="s">
        <v>551</v>
      </c>
      <c r="H5" s="118" t="s">
        <v>516</v>
      </c>
    </row>
    <row r="6" spans="2:19" x14ac:dyDescent="0.25">
      <c r="E6" s="89"/>
      <c r="H6" s="118" t="s">
        <v>638</v>
      </c>
      <c r="K6"/>
    </row>
    <row r="7" spans="2:19" x14ac:dyDescent="0.25">
      <c r="E7" s="89"/>
      <c r="H7" s="118" t="s">
        <v>639</v>
      </c>
      <c r="K7"/>
    </row>
    <row r="8" spans="2:19" x14ac:dyDescent="0.25">
      <c r="E8" s="89"/>
      <c r="H8" s="118" t="s">
        <v>631</v>
      </c>
      <c r="K8"/>
    </row>
    <row r="9" spans="2:19" x14ac:dyDescent="0.25">
      <c r="E9" s="89"/>
      <c r="H9" s="118" t="s">
        <v>712</v>
      </c>
      <c r="K9"/>
    </row>
    <row r="10" spans="2:19" x14ac:dyDescent="0.25">
      <c r="E10" s="89"/>
      <c r="H10" s="118" t="s">
        <v>485</v>
      </c>
      <c r="K10"/>
    </row>
    <row r="11" spans="2:19" x14ac:dyDescent="0.25">
      <c r="E11" s="89"/>
      <c r="H11" s="118" t="s">
        <v>637</v>
      </c>
      <c r="K11"/>
    </row>
    <row r="12" spans="2:19" x14ac:dyDescent="0.25">
      <c r="E12" s="89"/>
      <c r="H12"/>
      <c r="K12"/>
    </row>
    <row r="13" spans="2:19" s="110" customFormat="1" ht="48" x14ac:dyDescent="0.25">
      <c r="D13" s="112" t="s">
        <v>547</v>
      </c>
      <c r="E13" s="106" t="s">
        <v>657</v>
      </c>
      <c r="F13" s="106" t="s">
        <v>632</v>
      </c>
      <c r="H13" s="110" t="s">
        <v>514</v>
      </c>
      <c r="I13" s="111" t="s">
        <v>652</v>
      </c>
      <c r="J13" s="110" t="s">
        <v>517</v>
      </c>
      <c r="K13" s="111" t="s">
        <v>649</v>
      </c>
      <c r="M13" s="107" t="s">
        <v>646</v>
      </c>
      <c r="N13" s="108" t="s">
        <v>647</v>
      </c>
      <c r="O13" s="109" t="s">
        <v>648</v>
      </c>
      <c r="Q13" s="111" t="s">
        <v>650</v>
      </c>
      <c r="S13" s="139"/>
    </row>
    <row r="14" spans="2:19" x14ac:dyDescent="0.25">
      <c r="H14"/>
    </row>
    <row r="15" spans="2:19" x14ac:dyDescent="0.25">
      <c r="B15" t="s">
        <v>653</v>
      </c>
      <c r="D15" s="12" t="s">
        <v>445</v>
      </c>
      <c r="E15" s="61"/>
      <c r="F15" s="67" t="s">
        <v>10</v>
      </c>
      <c r="H15" s="118" t="s">
        <v>482</v>
      </c>
      <c r="I15" s="70" t="s">
        <v>519</v>
      </c>
      <c r="J15" s="63"/>
      <c r="K15" s="68">
        <v>0</v>
      </c>
      <c r="M15" s="57">
        <v>0</v>
      </c>
      <c r="N15" s="58">
        <v>0</v>
      </c>
      <c r="O15" s="59">
        <v>0</v>
      </c>
      <c r="Q15" s="98" t="str">
        <f ca="1">CalculateInvestment(Assesment!$D$50,$H15,$I15,$M15:$O15,$K15,Assesment!$D$28,$E15,$F15)</f>
        <v>REQUIRED</v>
      </c>
      <c r="S15" s="140" t="str">
        <f ca="1">$Q15</f>
        <v>REQUIRED</v>
      </c>
    </row>
    <row r="16" spans="2:19" x14ac:dyDescent="0.25">
      <c r="D16" s="12" t="s">
        <v>505</v>
      </c>
      <c r="E16" s="61" t="s">
        <v>548</v>
      </c>
      <c r="F16" s="67" t="s">
        <v>10</v>
      </c>
      <c r="H16" s="118" t="s">
        <v>482</v>
      </c>
      <c r="I16" s="70" t="s">
        <v>519</v>
      </c>
      <c r="J16" s="63"/>
      <c r="K16" s="68">
        <v>0</v>
      </c>
      <c r="M16" s="57">
        <v>250</v>
      </c>
      <c r="N16" s="58">
        <v>200</v>
      </c>
      <c r="O16" s="59">
        <v>75</v>
      </c>
      <c r="Q16" s="98" t="str">
        <f ca="1">CalculateInvestmentPerFoot(Assesment!$D$50,$H16,$I16,$M16:$O16,$K16,Assesment!$D$28,$F16)</f>
        <v>REQUIRED</v>
      </c>
      <c r="S16" s="140" t="str">
        <f t="shared" ref="S16:S80" ca="1" si="0">$Q16</f>
        <v>REQUIRED</v>
      </c>
    </row>
    <row r="17" spans="2:19" x14ac:dyDescent="0.25">
      <c r="D17" s="12" t="s">
        <v>404</v>
      </c>
      <c r="E17" s="61" t="s">
        <v>548</v>
      </c>
      <c r="F17" s="67" t="s">
        <v>10</v>
      </c>
      <c r="H17" s="118" t="s">
        <v>482</v>
      </c>
      <c r="I17" s="70" t="s">
        <v>519</v>
      </c>
      <c r="J17" s="63"/>
      <c r="K17" s="68">
        <v>0</v>
      </c>
      <c r="M17" s="57">
        <v>120</v>
      </c>
      <c r="N17" s="58">
        <v>50</v>
      </c>
      <c r="O17" s="59">
        <v>25</v>
      </c>
      <c r="Q17" s="98" t="str">
        <f ca="1">CalculateInvestmentPerFoot(Assesment!$D$50,$H17,$I17,$M17:$O17,$K17,Assesment!$D$28,$F17)</f>
        <v>REQUIRED</v>
      </c>
      <c r="S17" s="140" t="str">
        <f t="shared" ca="1" si="0"/>
        <v>REQUIRED</v>
      </c>
    </row>
    <row r="18" spans="2:19" x14ac:dyDescent="0.25">
      <c r="D18" s="12" t="s">
        <v>401</v>
      </c>
      <c r="E18" s="61" t="s">
        <v>548</v>
      </c>
      <c r="F18" s="67" t="s">
        <v>10</v>
      </c>
      <c r="H18" s="118" t="s">
        <v>482</v>
      </c>
      <c r="I18" s="70" t="s">
        <v>519</v>
      </c>
      <c r="J18" s="63"/>
      <c r="K18" s="68">
        <v>0</v>
      </c>
      <c r="M18" s="57">
        <v>500</v>
      </c>
      <c r="N18" s="58">
        <v>125</v>
      </c>
      <c r="O18" s="59">
        <v>25</v>
      </c>
      <c r="Q18" s="98" t="str">
        <f ca="1">CalculateInvestmentPerFoot(Assesment!$D$50,$H18,$I18,$M18:$O18,$K18,Assesment!$D$28,$F18)</f>
        <v>REQUIRED</v>
      </c>
      <c r="S18" s="140" t="str">
        <f t="shared" ca="1" si="0"/>
        <v>REQUIRED</v>
      </c>
    </row>
    <row r="19" spans="2:19" x14ac:dyDescent="0.25">
      <c r="D19" s="12" t="s">
        <v>471</v>
      </c>
      <c r="E19" s="61" t="s">
        <v>548</v>
      </c>
      <c r="F19" s="67" t="s">
        <v>10</v>
      </c>
      <c r="H19" s="118" t="s">
        <v>639</v>
      </c>
      <c r="I19" s="70" t="s">
        <v>519</v>
      </c>
      <c r="J19" s="63" t="s">
        <v>711</v>
      </c>
      <c r="K19" s="68">
        <v>20</v>
      </c>
      <c r="M19" s="57">
        <v>75</v>
      </c>
      <c r="N19" s="58">
        <v>40</v>
      </c>
      <c r="O19" s="59">
        <v>25</v>
      </c>
      <c r="Q19" s="98">
        <f ca="1">CalculateInvestmentPerFoot(Assesment!$D$50,$H19,$I19,$M19:$O19,$K19,Assesment!$D$28,$F19)</f>
        <v>880</v>
      </c>
      <c r="S19" s="140">
        <f t="shared" ca="1" si="0"/>
        <v>880</v>
      </c>
    </row>
    <row r="20" spans="2:19" x14ac:dyDescent="0.25">
      <c r="D20" s="12" t="s">
        <v>402</v>
      </c>
      <c r="E20" s="61"/>
      <c r="F20" s="67" t="s">
        <v>10</v>
      </c>
      <c r="H20" s="118" t="s">
        <v>482</v>
      </c>
      <c r="I20" s="70" t="s">
        <v>519</v>
      </c>
      <c r="J20" s="63"/>
      <c r="K20" s="68">
        <v>0</v>
      </c>
      <c r="M20" s="57">
        <v>10000</v>
      </c>
      <c r="N20" s="58">
        <v>4000</v>
      </c>
      <c r="O20" s="59">
        <v>2500</v>
      </c>
      <c r="Q20" s="98" t="str">
        <f ca="1">CalculateInvestmentPerFoot(Assesment!$D$50,$H20,$I20,$M20:$O20,$K20,Assesment!$D$28,$F20)</f>
        <v>REQUIRED</v>
      </c>
      <c r="S20" s="140" t="str">
        <f t="shared" ca="1" si="0"/>
        <v>REQUIRED</v>
      </c>
    </row>
    <row r="21" spans="2:19" x14ac:dyDescent="0.25">
      <c r="D21" s="12" t="s">
        <v>403</v>
      </c>
      <c r="E21" s="91" t="s">
        <v>549</v>
      </c>
      <c r="F21" s="67" t="s">
        <v>10</v>
      </c>
      <c r="H21" s="118" t="s">
        <v>482</v>
      </c>
      <c r="I21" s="70" t="s">
        <v>519</v>
      </c>
      <c r="J21" s="63"/>
      <c r="K21" s="68">
        <v>0</v>
      </c>
      <c r="M21" s="57">
        <v>4000</v>
      </c>
      <c r="N21" s="58">
        <v>2500</v>
      </c>
      <c r="O21" s="59">
        <v>1600</v>
      </c>
      <c r="Q21" s="98" t="str">
        <f ca="1">CalculateInvestment(Assesment!$D$50,$H21,$I21,$M21:$O21,$K21,Assesment!$D$28,$E21,$F21)</f>
        <v>REQUIRED</v>
      </c>
      <c r="S21" s="140" t="str">
        <f t="shared" ca="1" si="0"/>
        <v>REQUIRED</v>
      </c>
    </row>
    <row r="22" spans="2:19" x14ac:dyDescent="0.25">
      <c r="D22" s="12" t="s">
        <v>417</v>
      </c>
      <c r="E22" s="91" t="s">
        <v>549</v>
      </c>
      <c r="H22" s="118" t="s">
        <v>712</v>
      </c>
      <c r="I22" s="70" t="s">
        <v>519</v>
      </c>
      <c r="J22" s="63"/>
      <c r="K22" s="68">
        <v>0</v>
      </c>
      <c r="M22" s="57">
        <v>6000</v>
      </c>
      <c r="N22" s="58">
        <v>5000</v>
      </c>
      <c r="O22" s="59">
        <v>4000</v>
      </c>
      <c r="Q22" s="98">
        <f ca="1">CalculateInvestment(Assesment!$D$50,$H22,$I22,$M22:$O22,$K22,Assesment!$D$28,$E22,$F22)</f>
        <v>0</v>
      </c>
      <c r="S22" s="140">
        <f t="shared" ca="1" si="0"/>
        <v>0</v>
      </c>
    </row>
    <row r="23" spans="2:19" x14ac:dyDescent="0.25">
      <c r="F23"/>
      <c r="J23"/>
      <c r="K23"/>
      <c r="M23"/>
      <c r="N23"/>
      <c r="O23"/>
      <c r="S23" s="140">
        <f t="shared" si="0"/>
        <v>0</v>
      </c>
    </row>
    <row r="24" spans="2:19" x14ac:dyDescent="0.25">
      <c r="B24" t="s">
        <v>430</v>
      </c>
      <c r="D24" s="12" t="s">
        <v>445</v>
      </c>
      <c r="E24" s="61"/>
      <c r="F24" s="67" t="s">
        <v>10</v>
      </c>
      <c r="H24" s="118" t="s">
        <v>482</v>
      </c>
      <c r="I24" s="70" t="s">
        <v>519</v>
      </c>
      <c r="J24" s="63"/>
      <c r="K24" s="68">
        <v>0</v>
      </c>
      <c r="M24" s="57">
        <v>40000</v>
      </c>
      <c r="N24" s="58">
        <v>20000</v>
      </c>
      <c r="O24" s="59">
        <v>10000</v>
      </c>
      <c r="Q24" s="98" t="str">
        <f ca="1">CalculateInvestment(Assesment!$D$50,$H24,$I24,$M24:$O24,$K24,Assesment!$D$28,$E24,$F24)</f>
        <v>REQUIRED</v>
      </c>
      <c r="S24" s="140" t="str">
        <f t="shared" ca="1" si="0"/>
        <v>REQUIRED</v>
      </c>
    </row>
    <row r="25" spans="2:19" x14ac:dyDescent="0.25">
      <c r="D25" s="12" t="s">
        <v>446</v>
      </c>
      <c r="E25" s="61"/>
      <c r="F25" s="67" t="s">
        <v>10</v>
      </c>
      <c r="H25" s="118" t="s">
        <v>712</v>
      </c>
      <c r="I25" s="70" t="s">
        <v>519</v>
      </c>
      <c r="J25" s="63"/>
      <c r="K25" s="68">
        <v>0</v>
      </c>
      <c r="M25" s="57">
        <v>10000</v>
      </c>
      <c r="N25" s="58">
        <v>5000</v>
      </c>
      <c r="O25" s="59">
        <v>3500</v>
      </c>
      <c r="Q25" s="98">
        <f ca="1">CalculateInvestment(Assesment!$D$50,$H25,$I25,$M25:$O25,$K25,Assesment!$D$28,$E25,$F25)</f>
        <v>0</v>
      </c>
      <c r="S25" s="140">
        <f t="shared" ca="1" si="0"/>
        <v>0</v>
      </c>
    </row>
    <row r="26" spans="2:19" x14ac:dyDescent="0.25">
      <c r="D26" s="12" t="s">
        <v>444</v>
      </c>
      <c r="E26" s="91" t="s">
        <v>549</v>
      </c>
      <c r="F26" s="67" t="s">
        <v>10</v>
      </c>
      <c r="H26" s="118" t="s">
        <v>483</v>
      </c>
      <c r="I26" s="70" t="s">
        <v>519</v>
      </c>
      <c r="J26" s="63"/>
      <c r="K26" s="68">
        <v>0</v>
      </c>
      <c r="M26" s="57">
        <v>3000</v>
      </c>
      <c r="N26" s="58">
        <v>500</v>
      </c>
      <c r="O26" s="59">
        <v>100</v>
      </c>
      <c r="Q26" s="98">
        <f ca="1">CalculateInvestment(Assesment!$D$50,$H26,$I26,$M26:$O26,$K26,Assesment!$D$28,$E26,$F26)</f>
        <v>0</v>
      </c>
      <c r="S26" s="140">
        <f t="shared" ca="1" si="0"/>
        <v>0</v>
      </c>
    </row>
    <row r="27" spans="2:19" x14ac:dyDescent="0.25">
      <c r="D27" s="12" t="s">
        <v>651</v>
      </c>
      <c r="E27" s="61"/>
      <c r="F27" s="67" t="s">
        <v>10</v>
      </c>
      <c r="H27" s="118" t="s">
        <v>482</v>
      </c>
      <c r="I27" s="70" t="s">
        <v>519</v>
      </c>
      <c r="J27" s="63"/>
      <c r="K27" s="68">
        <v>0</v>
      </c>
      <c r="M27" s="57">
        <v>1600</v>
      </c>
      <c r="N27" s="58">
        <v>800</v>
      </c>
      <c r="O27" s="59">
        <v>400</v>
      </c>
      <c r="Q27" s="98" t="str">
        <f ca="1">CalculateInvestment(Assesment!$D$50,$H27,$I27,$M27:$O27,$K27,Assesment!$D$28,$E27,$F27)</f>
        <v>REQUIRED</v>
      </c>
      <c r="S27" s="140" t="str">
        <f t="shared" ca="1" si="0"/>
        <v>REQUIRED</v>
      </c>
    </row>
    <row r="28" spans="2:19" x14ac:dyDescent="0.25">
      <c r="D28" s="12" t="s">
        <v>421</v>
      </c>
      <c r="E28" s="91" t="s">
        <v>549</v>
      </c>
      <c r="F28" s="67" t="s">
        <v>10</v>
      </c>
      <c r="H28" s="118" t="s">
        <v>482</v>
      </c>
      <c r="I28" s="70" t="s">
        <v>519</v>
      </c>
      <c r="J28" s="63"/>
      <c r="K28" s="68">
        <v>0</v>
      </c>
      <c r="M28" s="57">
        <v>3000</v>
      </c>
      <c r="N28" s="58">
        <v>1500</v>
      </c>
      <c r="O28" s="59">
        <v>400</v>
      </c>
      <c r="Q28" s="98" t="str">
        <f ca="1">CalculateInvestment(Assesment!$D$50,$H28,$I28,$M28:$O28,$K28,Assesment!$D$28,$E28,$F28)</f>
        <v>REQUIRED</v>
      </c>
      <c r="S28" s="140" t="str">
        <f t="shared" ca="1" si="0"/>
        <v>REQUIRED</v>
      </c>
    </row>
    <row r="29" spans="2:19" x14ac:dyDescent="0.25">
      <c r="D29" s="12" t="s">
        <v>422</v>
      </c>
      <c r="E29" s="91" t="s">
        <v>549</v>
      </c>
      <c r="F29" s="67" t="s">
        <v>10</v>
      </c>
      <c r="H29" s="118" t="s">
        <v>482</v>
      </c>
      <c r="I29" s="70" t="s">
        <v>519</v>
      </c>
      <c r="J29" s="63"/>
      <c r="K29" s="68">
        <v>0</v>
      </c>
      <c r="M29" s="57">
        <v>2000</v>
      </c>
      <c r="N29" s="58">
        <v>1500</v>
      </c>
      <c r="O29" s="59">
        <v>1500</v>
      </c>
      <c r="Q29" s="98" t="str">
        <f ca="1">CalculateInvestment(Assesment!$D$50,$H29,$I29,$M29:$O29,$K29,Assesment!$D$28,$E29,$F29)</f>
        <v>REQUIRED</v>
      </c>
      <c r="S29" s="140" t="str">
        <f t="shared" ca="1" si="0"/>
        <v>REQUIRED</v>
      </c>
    </row>
    <row r="30" spans="2:19" x14ac:dyDescent="0.25">
      <c r="D30" s="12" t="s">
        <v>559</v>
      </c>
      <c r="E30" s="62"/>
      <c r="F30" s="67" t="s">
        <v>10</v>
      </c>
      <c r="H30" s="118" t="s">
        <v>483</v>
      </c>
      <c r="I30" s="70" t="s">
        <v>519</v>
      </c>
      <c r="J30" s="63"/>
      <c r="K30" s="68">
        <v>0</v>
      </c>
      <c r="M30" s="57">
        <v>2000</v>
      </c>
      <c r="N30" s="58">
        <v>1400</v>
      </c>
      <c r="O30" s="59">
        <v>1400</v>
      </c>
      <c r="Q30" s="98">
        <f ca="1">CalculateInvestment(Assesment!$D$50,$H30,$I30,$M30:$O30,$K30,Assesment!$D$28,$E30,$F30)</f>
        <v>0</v>
      </c>
      <c r="S30" s="140">
        <f t="shared" ca="1" si="0"/>
        <v>0</v>
      </c>
    </row>
    <row r="31" spans="2:19" x14ac:dyDescent="0.25">
      <c r="D31" s="12" t="s">
        <v>560</v>
      </c>
      <c r="E31" s="62"/>
      <c r="F31" s="67" t="s">
        <v>10</v>
      </c>
      <c r="H31" s="118" t="s">
        <v>483</v>
      </c>
      <c r="I31" s="70" t="s">
        <v>519</v>
      </c>
      <c r="J31" s="63" t="s">
        <v>731</v>
      </c>
      <c r="K31" s="68">
        <v>0</v>
      </c>
      <c r="M31" s="57">
        <v>1800</v>
      </c>
      <c r="N31" s="58">
        <v>1100</v>
      </c>
      <c r="O31" s="59">
        <v>1100</v>
      </c>
      <c r="Q31" s="98">
        <f ca="1">CalculateInvestment(Assesment!$D$50,$H31,$I31,$M31:$O31,$K31,Assesment!$D$28,$E31,$F31)</f>
        <v>0</v>
      </c>
      <c r="S31" s="140">
        <f t="shared" ca="1" si="0"/>
        <v>0</v>
      </c>
    </row>
    <row r="32" spans="2:19" x14ac:dyDescent="0.25">
      <c r="D32" s="12" t="s">
        <v>561</v>
      </c>
      <c r="E32" s="62"/>
      <c r="H32" s="118" t="s">
        <v>483</v>
      </c>
      <c r="I32" s="70" t="s">
        <v>519</v>
      </c>
      <c r="J32" s="63" t="s">
        <v>730</v>
      </c>
      <c r="K32" s="68">
        <v>0</v>
      </c>
      <c r="M32" s="57">
        <v>5000</v>
      </c>
      <c r="N32" s="58">
        <v>4000</v>
      </c>
      <c r="O32" s="59">
        <v>4000</v>
      </c>
      <c r="Q32" s="98">
        <f ca="1">CalculateInvestment(Assesment!$D$50,$H32,$I32,$M32:$O32,$K32,Assesment!$D$28,$E32,$F32)</f>
        <v>0</v>
      </c>
      <c r="S32" s="140">
        <f t="shared" ca="1" si="0"/>
        <v>0</v>
      </c>
    </row>
    <row r="33" spans="2:19" x14ac:dyDescent="0.25">
      <c r="D33" s="12" t="s">
        <v>486</v>
      </c>
      <c r="E33" s="62"/>
      <c r="H33" s="118" t="s">
        <v>712</v>
      </c>
      <c r="I33" s="70" t="s">
        <v>519</v>
      </c>
      <c r="J33" s="63"/>
      <c r="K33" s="68">
        <v>0</v>
      </c>
      <c r="M33" s="57">
        <v>0</v>
      </c>
      <c r="N33" s="58">
        <v>0</v>
      </c>
      <c r="O33" s="59">
        <v>0</v>
      </c>
      <c r="Q33" s="98">
        <f ca="1">CalculateInvestment(Assesment!$D$50,$H33,$I33,$M33:$O33,$K33,Assesment!$D$28,$E33,$F33)</f>
        <v>0</v>
      </c>
      <c r="S33" s="140">
        <f t="shared" ca="1" si="0"/>
        <v>0</v>
      </c>
    </row>
    <row r="34" spans="2:19" x14ac:dyDescent="0.25">
      <c r="D34" s="12" t="s">
        <v>562</v>
      </c>
      <c r="E34" s="91" t="s">
        <v>549</v>
      </c>
      <c r="F34" s="67" t="s">
        <v>10</v>
      </c>
      <c r="H34" s="118" t="s">
        <v>482</v>
      </c>
      <c r="I34" s="70" t="s">
        <v>519</v>
      </c>
      <c r="J34" s="63"/>
      <c r="K34" s="68">
        <v>0</v>
      </c>
      <c r="M34" s="57">
        <v>1500</v>
      </c>
      <c r="N34" s="58">
        <v>1000</v>
      </c>
      <c r="O34" s="59">
        <v>1000</v>
      </c>
      <c r="Q34" s="98" t="str">
        <f ca="1">CalculateInvestment(Assesment!$D$50,$H34,$I34,$M34:$O34,$K34,Assesment!$D$28,$E34,$F34)</f>
        <v>REQUIRED</v>
      </c>
      <c r="S34" s="140" t="str">
        <f t="shared" ca="1" si="0"/>
        <v>REQUIRED</v>
      </c>
    </row>
    <row r="35" spans="2:19" x14ac:dyDescent="0.25">
      <c r="D35" s="12" t="s">
        <v>420</v>
      </c>
      <c r="E35" s="61"/>
      <c r="H35" s="118" t="s">
        <v>482</v>
      </c>
      <c r="I35" s="70" t="s">
        <v>519</v>
      </c>
      <c r="J35" s="63"/>
      <c r="K35" s="68">
        <v>0</v>
      </c>
      <c r="M35" s="57">
        <v>2000</v>
      </c>
      <c r="N35" s="58">
        <v>400</v>
      </c>
      <c r="O35" s="59">
        <v>250</v>
      </c>
      <c r="Q35" s="98">
        <f ca="1">CalculateInvestment(Assesment!$D$50,$H35,$I35,$M35:$O35,$K35,Assesment!$D$28,$E35,$F35)</f>
        <v>0</v>
      </c>
      <c r="S35" s="140">
        <f t="shared" ca="1" si="0"/>
        <v>0</v>
      </c>
    </row>
    <row r="36" spans="2:19" x14ac:dyDescent="0.25">
      <c r="D36" s="12" t="s">
        <v>423</v>
      </c>
      <c r="E36" s="61"/>
      <c r="H36" s="118" t="s">
        <v>482</v>
      </c>
      <c r="I36" s="70" t="s">
        <v>519</v>
      </c>
      <c r="J36" s="63"/>
      <c r="K36" s="68">
        <v>0</v>
      </c>
      <c r="M36" s="57">
        <v>0</v>
      </c>
      <c r="N36" s="58">
        <v>0</v>
      </c>
      <c r="O36" s="59">
        <v>0</v>
      </c>
      <c r="Q36" s="98">
        <f ca="1">CalculateInvestment(Assesment!$D$50,$H36,$I36,$M36:$O36,$K36,Assesment!$D$28,$E36,$F36)</f>
        <v>0</v>
      </c>
      <c r="S36" s="140">
        <f t="shared" ca="1" si="0"/>
        <v>0</v>
      </c>
    </row>
    <row r="37" spans="2:19" x14ac:dyDescent="0.25">
      <c r="I37" s="64"/>
      <c r="J37"/>
      <c r="K37"/>
      <c r="M37"/>
      <c r="N37"/>
      <c r="O37"/>
      <c r="Q37" s="99"/>
      <c r="S37" s="140">
        <f t="shared" si="0"/>
        <v>0</v>
      </c>
    </row>
    <row r="38" spans="2:19" x14ac:dyDescent="0.25">
      <c r="B38" t="s">
        <v>429</v>
      </c>
      <c r="D38" s="12" t="s">
        <v>473</v>
      </c>
      <c r="E38" s="91" t="s">
        <v>549</v>
      </c>
      <c r="F38" s="67" t="s">
        <v>10</v>
      </c>
      <c r="H38" s="118" t="s">
        <v>482</v>
      </c>
      <c r="I38" s="70" t="s">
        <v>519</v>
      </c>
      <c r="J38" s="63"/>
      <c r="K38" s="68">
        <v>0</v>
      </c>
      <c r="M38" s="57">
        <v>30000</v>
      </c>
      <c r="N38" s="58">
        <v>20000</v>
      </c>
      <c r="O38" s="59">
        <v>10000</v>
      </c>
      <c r="Q38" s="98" t="str">
        <f ca="1">CalculateInvestment(Assesment!$D$50,$H38,$I38,$M38:$O38,$K38,Assesment!$D$28,$E38,$F38)</f>
        <v>REQUIRED</v>
      </c>
      <c r="S38" s="140" t="str">
        <f t="shared" ca="1" si="0"/>
        <v>REQUIRED</v>
      </c>
    </row>
    <row r="39" spans="2:19" x14ac:dyDescent="0.25">
      <c r="D39" s="12" t="s">
        <v>554</v>
      </c>
      <c r="E39" s="91" t="s">
        <v>549</v>
      </c>
      <c r="F39" s="67" t="s">
        <v>10</v>
      </c>
      <c r="H39" s="118" t="s">
        <v>516</v>
      </c>
      <c r="I39" s="70" t="s">
        <v>519</v>
      </c>
      <c r="J39" s="63" t="s">
        <v>732</v>
      </c>
      <c r="K39" s="68">
        <v>2000</v>
      </c>
      <c r="M39" s="57">
        <v>5000</v>
      </c>
      <c r="N39" s="58">
        <v>4200</v>
      </c>
      <c r="O39" s="59">
        <v>3600</v>
      </c>
      <c r="Q39" s="98">
        <f ca="1">CalculateInvestment(Assesment!$D$50,$H39,$I39,$M39:$O39,$K39,Assesment!$D$28,$E39,$F39)</f>
        <v>2000</v>
      </c>
      <c r="S39" s="140">
        <f t="shared" ca="1" si="0"/>
        <v>2000</v>
      </c>
    </row>
    <row r="40" spans="2:19" x14ac:dyDescent="0.25">
      <c r="D40" s="12" t="s">
        <v>555</v>
      </c>
      <c r="E40" s="91" t="s">
        <v>549</v>
      </c>
      <c r="F40" s="67" t="s">
        <v>10</v>
      </c>
      <c r="H40" s="118" t="s">
        <v>482</v>
      </c>
      <c r="I40" s="70" t="s">
        <v>519</v>
      </c>
      <c r="J40" s="63"/>
      <c r="K40" s="68">
        <v>0</v>
      </c>
      <c r="M40" s="57">
        <v>3000</v>
      </c>
      <c r="N40" s="58">
        <v>2500</v>
      </c>
      <c r="O40" s="59">
        <v>2500</v>
      </c>
      <c r="Q40" s="98" t="str">
        <f ca="1">CalculateInvestment(Assesment!$D$50,$H40,$I40,$M40:$O40,$K40,Assesment!$D$28,$E40,$F40)</f>
        <v>REQUIRED</v>
      </c>
      <c r="S40" s="140" t="str">
        <f t="shared" ca="1" si="0"/>
        <v>REQUIRED</v>
      </c>
    </row>
    <row r="41" spans="2:19" x14ac:dyDescent="0.25">
      <c r="D41" s="12" t="s">
        <v>556</v>
      </c>
      <c r="E41" s="91" t="s">
        <v>549</v>
      </c>
      <c r="F41" s="67" t="s">
        <v>10</v>
      </c>
      <c r="H41" s="118" t="s">
        <v>484</v>
      </c>
      <c r="I41" s="70">
        <v>0.8</v>
      </c>
      <c r="J41" s="63"/>
      <c r="K41" s="68">
        <v>0</v>
      </c>
      <c r="M41" s="57">
        <v>2000</v>
      </c>
      <c r="N41" s="58">
        <v>1500</v>
      </c>
      <c r="O41" s="59">
        <v>1500</v>
      </c>
      <c r="Q41" s="98">
        <f ca="1">CalculateInvestment(Assesment!$D$50,$H41,$I41,$M41:$O41,$K41,Assesment!$D$28,$E41,$F41)</f>
        <v>359.99999999999994</v>
      </c>
      <c r="S41" s="140">
        <f t="shared" ca="1" si="0"/>
        <v>359.99999999999994</v>
      </c>
    </row>
    <row r="42" spans="2:19" x14ac:dyDescent="0.25">
      <c r="D42" s="12" t="s">
        <v>557</v>
      </c>
      <c r="E42" s="91" t="s">
        <v>549</v>
      </c>
      <c r="F42" s="67" t="s">
        <v>10</v>
      </c>
      <c r="H42" s="118" t="s">
        <v>483</v>
      </c>
      <c r="I42" s="70" t="s">
        <v>519</v>
      </c>
      <c r="J42" s="63" t="s">
        <v>708</v>
      </c>
      <c r="K42" s="68">
        <v>0</v>
      </c>
      <c r="M42" s="57">
        <v>11000</v>
      </c>
      <c r="N42" s="58">
        <v>8000</v>
      </c>
      <c r="O42" s="59">
        <v>8000</v>
      </c>
      <c r="Q42" s="98">
        <f ca="1">CalculateInvestment(Assesment!$D$50,$H42,$I42,$M42:$O42,$K42,Assesment!$D$28,$E42,$F42)</f>
        <v>0</v>
      </c>
      <c r="S42" s="140">
        <f t="shared" ca="1" si="0"/>
        <v>0</v>
      </c>
    </row>
    <row r="43" spans="2:19" x14ac:dyDescent="0.25">
      <c r="D43" s="12" t="s">
        <v>474</v>
      </c>
      <c r="E43" s="91" t="s">
        <v>549</v>
      </c>
      <c r="F43" s="67" t="s">
        <v>10</v>
      </c>
      <c r="H43" s="118" t="s">
        <v>482</v>
      </c>
      <c r="I43" s="70" t="s">
        <v>519</v>
      </c>
      <c r="J43" s="63"/>
      <c r="K43" s="68">
        <v>0</v>
      </c>
      <c r="M43" s="57">
        <v>2000</v>
      </c>
      <c r="N43" s="58">
        <v>1500</v>
      </c>
      <c r="O43" s="59">
        <v>1000</v>
      </c>
      <c r="Q43" s="98" t="str">
        <f ca="1">CalculateInvestment(Assesment!$D$50,$H43,$I43,$M43:$O43,$K43,Assesment!$D$28,$E43,$F43)</f>
        <v>REQUIRED</v>
      </c>
      <c r="S43" s="140" t="str">
        <f t="shared" ca="1" si="0"/>
        <v>REQUIRED</v>
      </c>
    </row>
    <row r="44" spans="2:19" x14ac:dyDescent="0.25">
      <c r="D44" s="12" t="s">
        <v>709</v>
      </c>
      <c r="E44" s="91" t="s">
        <v>549</v>
      </c>
      <c r="F44" s="67" t="s">
        <v>10</v>
      </c>
      <c r="H44" s="118" t="s">
        <v>483</v>
      </c>
      <c r="I44" s="70" t="s">
        <v>519</v>
      </c>
      <c r="J44" s="63"/>
      <c r="K44" s="68">
        <v>0</v>
      </c>
      <c r="M44" s="57">
        <v>2000</v>
      </c>
      <c r="N44" s="58">
        <v>1500</v>
      </c>
      <c r="O44" s="59">
        <v>1200</v>
      </c>
      <c r="Q44" s="98">
        <f ca="1">CalculateInvestment(Assesment!$D$50,$H44,$I44,$M44:$O44,$K44,Assesment!$D$28,$E44,$F44)</f>
        <v>0</v>
      </c>
      <c r="S44" s="140">
        <f t="shared" ca="1" si="0"/>
        <v>0</v>
      </c>
    </row>
    <row r="45" spans="2:19" x14ac:dyDescent="0.25">
      <c r="D45" s="12" t="s">
        <v>558</v>
      </c>
      <c r="E45" s="91" t="s">
        <v>549</v>
      </c>
      <c r="F45" s="67" t="s">
        <v>10</v>
      </c>
      <c r="H45" s="118" t="s">
        <v>482</v>
      </c>
      <c r="I45" s="70" t="s">
        <v>519</v>
      </c>
      <c r="J45" s="63"/>
      <c r="K45" s="68">
        <v>0</v>
      </c>
      <c r="M45" s="57">
        <v>2000</v>
      </c>
      <c r="N45" s="58">
        <v>1700</v>
      </c>
      <c r="O45" s="59">
        <v>1700</v>
      </c>
      <c r="Q45" s="98" t="str">
        <f ca="1">CalculateInvestment(Assesment!$D$50,$H45,$I45,$M45:$O45,$K45,Assesment!$D$28,$E45,$F45)</f>
        <v>REQUIRED</v>
      </c>
      <c r="S45" s="140" t="str">
        <f t="shared" ca="1" si="0"/>
        <v>REQUIRED</v>
      </c>
    </row>
    <row r="46" spans="2:19" x14ac:dyDescent="0.25">
      <c r="D46" s="12" t="s">
        <v>468</v>
      </c>
      <c r="E46" s="91" t="s">
        <v>549</v>
      </c>
      <c r="F46" s="67" t="s">
        <v>10</v>
      </c>
      <c r="H46" s="118" t="s">
        <v>482</v>
      </c>
      <c r="I46" s="70" t="s">
        <v>519</v>
      </c>
      <c r="J46" s="63"/>
      <c r="K46" s="68">
        <v>0</v>
      </c>
      <c r="M46" s="57">
        <v>6000</v>
      </c>
      <c r="N46" s="58">
        <v>4500</v>
      </c>
      <c r="O46" s="59">
        <v>3500</v>
      </c>
      <c r="Q46" s="98" t="str">
        <f ca="1">CalculateInvestment(Assesment!$D$50,$H46,$I46,$M46:$O46,$K46,Assesment!$D$28,$E46,$F46)</f>
        <v>REQUIRED</v>
      </c>
      <c r="S46" s="140" t="str">
        <f t="shared" ca="1" si="0"/>
        <v>REQUIRED</v>
      </c>
    </row>
    <row r="47" spans="2:19" x14ac:dyDescent="0.25">
      <c r="Q47" s="64"/>
      <c r="S47" s="140">
        <f t="shared" si="0"/>
        <v>0</v>
      </c>
    </row>
    <row r="48" spans="2:19" x14ac:dyDescent="0.25">
      <c r="B48" t="s">
        <v>654</v>
      </c>
      <c r="D48" s="12" t="s">
        <v>552</v>
      </c>
      <c r="E48" s="91" t="s">
        <v>549</v>
      </c>
      <c r="F48" s="67" t="s">
        <v>10</v>
      </c>
      <c r="H48" s="118" t="s">
        <v>638</v>
      </c>
      <c r="I48" s="70" t="s">
        <v>519</v>
      </c>
      <c r="J48" s="63" t="s">
        <v>256</v>
      </c>
      <c r="K48" s="68">
        <v>170</v>
      </c>
      <c r="M48" s="57">
        <v>3000</v>
      </c>
      <c r="N48" s="58">
        <v>2500</v>
      </c>
      <c r="O48" s="59">
        <v>2000</v>
      </c>
      <c r="Q48" s="98">
        <f ca="1">CalculateInvestment(Assesment!$D$50,$H48,$I48,$M48:$O48,$K48,Assesment!$D$28,$E48,$F48)</f>
        <v>170</v>
      </c>
      <c r="S48" s="140">
        <f t="shared" ca="1" si="0"/>
        <v>170</v>
      </c>
    </row>
    <row r="49" spans="2:19" x14ac:dyDescent="0.25">
      <c r="D49" s="12" t="s">
        <v>553</v>
      </c>
      <c r="E49" s="62"/>
      <c r="F49" s="67" t="s">
        <v>10</v>
      </c>
      <c r="H49" s="118" t="s">
        <v>482</v>
      </c>
      <c r="I49" s="70" t="s">
        <v>519</v>
      </c>
      <c r="J49" s="63"/>
      <c r="K49" s="68">
        <v>0</v>
      </c>
      <c r="M49" s="57">
        <v>3000</v>
      </c>
      <c r="N49" s="58">
        <v>2800</v>
      </c>
      <c r="O49" s="59">
        <v>2000</v>
      </c>
      <c r="Q49" s="98" t="str">
        <f ca="1">CalculateInvestment(Assesment!$D$50,$H49,$I49,$M49:$O49,$K49,Assesment!$D$28,$E49,$F49)</f>
        <v>REQUIRED</v>
      </c>
      <c r="S49" s="140" t="str">
        <f t="shared" ca="1" si="0"/>
        <v>REQUIRED</v>
      </c>
    </row>
    <row r="50" spans="2:19" x14ac:dyDescent="0.25">
      <c r="D50" s="12" t="s">
        <v>418</v>
      </c>
      <c r="E50" s="61"/>
      <c r="F50" s="67" t="s">
        <v>10</v>
      </c>
      <c r="H50" s="118" t="s">
        <v>482</v>
      </c>
      <c r="I50" s="70" t="s">
        <v>519</v>
      </c>
      <c r="J50" s="63"/>
      <c r="K50" s="68">
        <v>0</v>
      </c>
      <c r="M50" s="57">
        <v>400</v>
      </c>
      <c r="N50" s="58">
        <v>300</v>
      </c>
      <c r="O50" s="59">
        <v>250</v>
      </c>
      <c r="Q50" s="98" t="str">
        <f ca="1">CalculateInvestment(Assesment!$D$50,$H50,$I50,$M50:$O50,$K50,Assesment!$D$28,$E50,$F50)</f>
        <v>REQUIRED</v>
      </c>
      <c r="S50" s="140" t="str">
        <f t="shared" ca="1" si="0"/>
        <v>REQUIRED</v>
      </c>
    </row>
    <row r="51" spans="2:19" x14ac:dyDescent="0.25">
      <c r="D51" s="12" t="s">
        <v>419</v>
      </c>
      <c r="E51" s="61"/>
      <c r="F51" s="67" t="s">
        <v>10</v>
      </c>
      <c r="H51" s="118" t="s">
        <v>482</v>
      </c>
      <c r="I51" s="70" t="s">
        <v>519</v>
      </c>
      <c r="J51" s="63"/>
      <c r="K51" s="68">
        <v>0</v>
      </c>
      <c r="M51" s="57">
        <v>1000</v>
      </c>
      <c r="N51" s="58">
        <v>800</v>
      </c>
      <c r="O51" s="59">
        <v>600</v>
      </c>
      <c r="Q51" s="98" t="str">
        <f ca="1">CalculateInvestment(Assesment!$D$50,$H51,$I51,$M51:$O51,$K51,Assesment!$D$28,$E51,$F51)</f>
        <v>REQUIRED</v>
      </c>
      <c r="S51" s="140" t="str">
        <f t="shared" ca="1" si="0"/>
        <v>REQUIRED</v>
      </c>
    </row>
    <row r="52" spans="2:19" x14ac:dyDescent="0.25">
      <c r="Q52" s="64"/>
      <c r="S52" s="140">
        <f t="shared" si="0"/>
        <v>0</v>
      </c>
    </row>
    <row r="53" spans="2:19" x14ac:dyDescent="0.25">
      <c r="B53" t="s">
        <v>431</v>
      </c>
      <c r="D53" s="12" t="s">
        <v>432</v>
      </c>
      <c r="E53" s="91" t="s">
        <v>549</v>
      </c>
      <c r="F53" s="67" t="s">
        <v>10</v>
      </c>
      <c r="H53" s="118" t="s">
        <v>482</v>
      </c>
      <c r="I53" s="70" t="s">
        <v>519</v>
      </c>
      <c r="J53" s="63"/>
      <c r="K53" s="68">
        <v>0</v>
      </c>
      <c r="M53" s="57">
        <v>6000</v>
      </c>
      <c r="N53" s="58">
        <v>4000</v>
      </c>
      <c r="O53" s="59">
        <v>2000</v>
      </c>
      <c r="Q53" s="98" t="str">
        <f ca="1">CalculateInvestment(Assesment!$D$50,$H53,$I53,$M53:$O53,$K53,Assesment!$D$28,$E53,$F53)</f>
        <v>REQUIRED</v>
      </c>
      <c r="S53" s="140" t="str">
        <f t="shared" ca="1" si="0"/>
        <v>REQUIRED</v>
      </c>
    </row>
    <row r="54" spans="2:19" x14ac:dyDescent="0.25">
      <c r="D54" s="12" t="s">
        <v>416</v>
      </c>
      <c r="E54" s="91" t="s">
        <v>549</v>
      </c>
      <c r="F54" s="67" t="s">
        <v>10</v>
      </c>
      <c r="H54" s="118" t="s">
        <v>482</v>
      </c>
      <c r="I54" s="70" t="s">
        <v>519</v>
      </c>
      <c r="J54" s="63"/>
      <c r="K54" s="68">
        <v>0</v>
      </c>
      <c r="M54" s="57">
        <v>10000</v>
      </c>
      <c r="N54" s="58">
        <v>7000</v>
      </c>
      <c r="O54" s="59">
        <v>4000</v>
      </c>
      <c r="Q54" s="98" t="str">
        <f ca="1">CalculateInvestment(Assesment!$D$50,$H54,$I54,$M54:$O54,$K54,Assesment!$D$28,$E54,$F54)</f>
        <v>REQUIRED</v>
      </c>
      <c r="S54" s="140" t="str">
        <f t="shared" ca="1" si="0"/>
        <v>REQUIRED</v>
      </c>
    </row>
    <row r="55" spans="2:19" x14ac:dyDescent="0.25">
      <c r="D55" s="12" t="s">
        <v>592</v>
      </c>
      <c r="E55" s="61"/>
      <c r="F55" s="67" t="s">
        <v>10</v>
      </c>
      <c r="H55" s="118" t="s">
        <v>482</v>
      </c>
      <c r="I55" s="70" t="s">
        <v>519</v>
      </c>
      <c r="J55" s="63"/>
      <c r="K55" s="68">
        <v>0</v>
      </c>
      <c r="M55" s="57">
        <v>4000</v>
      </c>
      <c r="N55" s="58">
        <v>3000</v>
      </c>
      <c r="O55" s="59">
        <v>2000</v>
      </c>
      <c r="Q55" s="98" t="str">
        <f ca="1">CalculateInvestment(Assesment!$D$50,$H55,$I55,$M55:$O55,$K55,Assesment!$D$28,$E55,$F55)</f>
        <v>REQUIRED</v>
      </c>
      <c r="S55" s="140" t="str">
        <f t="shared" ca="1" si="0"/>
        <v>REQUIRED</v>
      </c>
    </row>
    <row r="56" spans="2:19" x14ac:dyDescent="0.25">
      <c r="D56" s="12" t="s">
        <v>424</v>
      </c>
      <c r="E56" s="91" t="s">
        <v>549</v>
      </c>
      <c r="H56" s="118" t="s">
        <v>482</v>
      </c>
      <c r="I56" s="70" t="s">
        <v>519</v>
      </c>
      <c r="J56" s="63"/>
      <c r="K56" s="68">
        <v>0</v>
      </c>
      <c r="M56" s="57">
        <v>7000</v>
      </c>
      <c r="N56" s="58">
        <v>5000</v>
      </c>
      <c r="O56" s="59">
        <v>4000</v>
      </c>
      <c r="Q56" s="98">
        <f ca="1">CalculateInvestment(Assesment!$D$50,$H56,$I56,$M56:$O56,$K56,Assesment!$D$28,$E56,$F56)</f>
        <v>0</v>
      </c>
      <c r="S56" s="140">
        <f t="shared" ca="1" si="0"/>
        <v>0</v>
      </c>
    </row>
    <row r="57" spans="2:19" x14ac:dyDescent="0.25">
      <c r="Q57" s="64"/>
      <c r="S57" s="140">
        <f t="shared" si="0"/>
        <v>0</v>
      </c>
    </row>
    <row r="58" spans="2:19" x14ac:dyDescent="0.25">
      <c r="B58" t="s">
        <v>433</v>
      </c>
      <c r="D58" s="12" t="s">
        <v>292</v>
      </c>
      <c r="E58" s="91" t="s">
        <v>549</v>
      </c>
      <c r="F58" s="67" t="s">
        <v>10</v>
      </c>
      <c r="H58" s="118" t="s">
        <v>484</v>
      </c>
      <c r="I58" s="70" t="s">
        <v>519</v>
      </c>
      <c r="J58" s="63" t="s">
        <v>706</v>
      </c>
      <c r="K58" s="68">
        <v>5000</v>
      </c>
      <c r="M58" s="57">
        <v>20000</v>
      </c>
      <c r="N58" s="58">
        <v>12000</v>
      </c>
      <c r="O58" s="59">
        <v>6000</v>
      </c>
      <c r="Q58" s="98">
        <f ca="1">CalculateInvestment(Assesment!$D$50,$H58,$I58,$M58:$O58,$K58,Assesment!$D$28,$E58,$F58)</f>
        <v>5000</v>
      </c>
      <c r="S58" s="140">
        <f t="shared" ca="1" si="0"/>
        <v>5000</v>
      </c>
    </row>
    <row r="59" spans="2:19" x14ac:dyDescent="0.25">
      <c r="D59" s="12" t="s">
        <v>405</v>
      </c>
      <c r="E59" s="91" t="s">
        <v>549</v>
      </c>
      <c r="F59" s="67" t="s">
        <v>10</v>
      </c>
      <c r="H59" s="118" t="s">
        <v>516</v>
      </c>
      <c r="I59" s="70" t="s">
        <v>519</v>
      </c>
      <c r="J59" s="63" t="s">
        <v>706</v>
      </c>
      <c r="K59" s="68">
        <v>1500</v>
      </c>
      <c r="M59" s="57">
        <v>4500</v>
      </c>
      <c r="N59" s="58">
        <v>3500</v>
      </c>
      <c r="O59" s="59">
        <v>2500</v>
      </c>
      <c r="Q59" s="98">
        <f ca="1">CalculateInvestment(Assesment!$D$50,$H59,$I59,$M59:$O59,$K59,Assesment!$D$28,$E59,$F59)</f>
        <v>1500</v>
      </c>
      <c r="S59" s="140">
        <f t="shared" ca="1" si="0"/>
        <v>1500</v>
      </c>
    </row>
    <row r="60" spans="2:19" x14ac:dyDescent="0.25">
      <c r="D60" s="12" t="s">
        <v>593</v>
      </c>
      <c r="E60" s="91" t="s">
        <v>549</v>
      </c>
      <c r="F60" s="67" t="s">
        <v>10</v>
      </c>
      <c r="H60" s="118" t="s">
        <v>484</v>
      </c>
      <c r="I60" s="70">
        <v>0.6</v>
      </c>
      <c r="J60" s="63"/>
      <c r="K60" s="68">
        <v>0</v>
      </c>
      <c r="M60" s="57">
        <v>2500</v>
      </c>
      <c r="N60" s="58">
        <v>1500</v>
      </c>
      <c r="O60" s="59">
        <v>1000</v>
      </c>
      <c r="Q60" s="98">
        <f ca="1">CalculateInvestment(Assesment!$D$50,$H60,$I60,$M60:$O60,$K60,Assesment!$D$28,$E60,$F60)</f>
        <v>720</v>
      </c>
      <c r="S60" s="140">
        <f t="shared" ca="1" si="0"/>
        <v>720</v>
      </c>
    </row>
    <row r="61" spans="2:19" x14ac:dyDescent="0.25">
      <c r="D61" s="12" t="s">
        <v>298</v>
      </c>
      <c r="E61" s="91" t="s">
        <v>549</v>
      </c>
      <c r="F61" s="67" t="s">
        <v>10</v>
      </c>
      <c r="H61" s="118" t="s">
        <v>483</v>
      </c>
      <c r="I61" s="70" t="s">
        <v>519</v>
      </c>
      <c r="J61" s="63" t="s">
        <v>718</v>
      </c>
      <c r="K61" s="68">
        <v>0</v>
      </c>
      <c r="M61" s="57">
        <v>4000</v>
      </c>
      <c r="N61" s="58">
        <v>1000</v>
      </c>
      <c r="O61" s="59">
        <v>600</v>
      </c>
      <c r="Q61" s="98">
        <f ca="1">CalculateInvestment(Assesment!$D$50,$H61,$I61,$M61:$O61,$K61,Assesment!$D$28,$E61,$F61)</f>
        <v>0</v>
      </c>
      <c r="S61" s="140">
        <f t="shared" ca="1" si="0"/>
        <v>0</v>
      </c>
    </row>
    <row r="62" spans="2:19" x14ac:dyDescent="0.25">
      <c r="D62" s="12" t="s">
        <v>415</v>
      </c>
      <c r="E62" s="91" t="s">
        <v>549</v>
      </c>
      <c r="F62" s="67" t="s">
        <v>10</v>
      </c>
      <c r="H62" s="118" t="s">
        <v>484</v>
      </c>
      <c r="I62" s="70" t="s">
        <v>519</v>
      </c>
      <c r="J62" s="63"/>
      <c r="K62" s="68">
        <v>500</v>
      </c>
      <c r="M62" s="57">
        <v>3500</v>
      </c>
      <c r="N62" s="58">
        <v>2500</v>
      </c>
      <c r="O62" s="59">
        <v>1500</v>
      </c>
      <c r="Q62" s="98">
        <f ca="1">CalculateInvestment(Assesment!$D$50,$H62,$I62,$M62:$O62,$K62,Assesment!$D$28,$E62,$F62)</f>
        <v>500</v>
      </c>
      <c r="S62" s="140">
        <f t="shared" ca="1" si="0"/>
        <v>500</v>
      </c>
    </row>
    <row r="63" spans="2:19" x14ac:dyDescent="0.25">
      <c r="D63" s="12" t="s">
        <v>406</v>
      </c>
      <c r="E63" s="61"/>
      <c r="F63" s="67" t="s">
        <v>10</v>
      </c>
      <c r="H63" s="118" t="s">
        <v>482</v>
      </c>
      <c r="I63" s="70" t="s">
        <v>519</v>
      </c>
      <c r="J63" s="63"/>
      <c r="K63" s="68">
        <v>0</v>
      </c>
      <c r="M63" s="57">
        <v>300</v>
      </c>
      <c r="N63" s="58">
        <v>200</v>
      </c>
      <c r="O63" s="59">
        <v>150</v>
      </c>
      <c r="Q63" s="98" t="str">
        <f ca="1">CalculateInvestment(Assesment!$D$50,$H63,$I63,$M63:$O63,$K63,Assesment!$D$28,$E63,$F63)</f>
        <v>REQUIRED</v>
      </c>
      <c r="S63" s="140" t="str">
        <f ca="1">$Q63</f>
        <v>REQUIRED</v>
      </c>
    </row>
    <row r="64" spans="2:19" x14ac:dyDescent="0.25">
      <c r="D64" s="12" t="s">
        <v>408</v>
      </c>
      <c r="E64" s="61"/>
      <c r="F64" s="67" t="s">
        <v>10</v>
      </c>
      <c r="H64" s="118" t="s">
        <v>483</v>
      </c>
      <c r="I64" s="70" t="s">
        <v>519</v>
      </c>
      <c r="J64" s="63"/>
      <c r="K64" s="68">
        <v>0</v>
      </c>
      <c r="M64" s="57">
        <v>2000</v>
      </c>
      <c r="N64" s="58">
        <v>1200</v>
      </c>
      <c r="O64" s="59">
        <v>600</v>
      </c>
      <c r="Q64" s="98">
        <f ca="1">CalculateInvestment(Assesment!$D$50,$H64,$I64,$M64:$O64,$K64,Assesment!$D$28,$E64,$F64)</f>
        <v>0</v>
      </c>
      <c r="S64" s="140">
        <f t="shared" ca="1" si="0"/>
        <v>0</v>
      </c>
    </row>
    <row r="65" spans="2:19" x14ac:dyDescent="0.25">
      <c r="D65" s="12" t="s">
        <v>407</v>
      </c>
      <c r="E65" s="61"/>
      <c r="F65" s="67" t="s">
        <v>10</v>
      </c>
      <c r="H65" s="118" t="s">
        <v>482</v>
      </c>
      <c r="I65" s="70" t="s">
        <v>519</v>
      </c>
      <c r="J65" s="63"/>
      <c r="K65" s="68">
        <v>0</v>
      </c>
      <c r="M65" s="57">
        <v>900</v>
      </c>
      <c r="N65" s="58">
        <v>500</v>
      </c>
      <c r="O65" s="59">
        <v>400</v>
      </c>
      <c r="Q65" s="98" t="str">
        <f ca="1">CalculateInvestment(Assesment!$D$50,$H65,$I65,$M65:$O65,$K65,Assesment!$D$28,$E65,$F65)</f>
        <v>REQUIRED</v>
      </c>
      <c r="S65" s="140" t="str">
        <f t="shared" ca="1" si="0"/>
        <v>REQUIRED</v>
      </c>
    </row>
    <row r="66" spans="2:19" x14ac:dyDescent="0.25">
      <c r="D66" s="12" t="s">
        <v>496</v>
      </c>
      <c r="E66" s="61"/>
      <c r="F66" s="67" t="s">
        <v>10</v>
      </c>
      <c r="H66" s="118" t="s">
        <v>482</v>
      </c>
      <c r="I66" s="70" t="s">
        <v>519</v>
      </c>
      <c r="J66" s="63"/>
      <c r="K66" s="68">
        <v>0</v>
      </c>
      <c r="M66" s="57">
        <v>1500</v>
      </c>
      <c r="N66" s="58">
        <v>1000</v>
      </c>
      <c r="O66" s="59">
        <v>500</v>
      </c>
      <c r="Q66" s="98" t="str">
        <f ca="1">CalculateInvestment(Assesment!$D$50,$H66,$I66,$M66:$O66,$K66,Assesment!$D$28,$E66,$F66)</f>
        <v>REQUIRED</v>
      </c>
      <c r="S66" s="140" t="str">
        <f t="shared" ca="1" si="0"/>
        <v>REQUIRED</v>
      </c>
    </row>
    <row r="67" spans="2:19" x14ac:dyDescent="0.25">
      <c r="E67"/>
      <c r="M67"/>
      <c r="N67"/>
      <c r="O67"/>
      <c r="Q67" s="64"/>
      <c r="S67" s="140">
        <f t="shared" si="0"/>
        <v>0</v>
      </c>
    </row>
    <row r="68" spans="2:19" x14ac:dyDescent="0.25">
      <c r="B68" t="s">
        <v>414</v>
      </c>
      <c r="D68" s="12" t="s">
        <v>414</v>
      </c>
      <c r="E68" s="61"/>
      <c r="H68" s="118" t="s">
        <v>712</v>
      </c>
      <c r="I68" s="70" t="s">
        <v>519</v>
      </c>
      <c r="J68" s="63"/>
      <c r="K68" s="68">
        <v>0</v>
      </c>
      <c r="M68" s="57">
        <v>15000</v>
      </c>
      <c r="N68" s="58">
        <v>10000</v>
      </c>
      <c r="O68" s="59">
        <v>7000</v>
      </c>
      <c r="Q68" s="98">
        <f ca="1">CalculateInvestment(Assesment!$D$50,$H68,$I68,$M68:$O68,$K68,Assesment!$D$28,$E68,$F68)</f>
        <v>0</v>
      </c>
      <c r="S68" s="140">
        <f t="shared" ca="1" si="0"/>
        <v>0</v>
      </c>
    </row>
    <row r="69" spans="2:19" x14ac:dyDescent="0.25">
      <c r="Q69" s="64"/>
      <c r="S69" s="140">
        <f t="shared" si="0"/>
        <v>0</v>
      </c>
    </row>
    <row r="70" spans="2:19" x14ac:dyDescent="0.25">
      <c r="B70" t="s">
        <v>434</v>
      </c>
      <c r="D70" s="12" t="s">
        <v>564</v>
      </c>
      <c r="E70" s="62"/>
      <c r="F70" s="67" t="s">
        <v>10</v>
      </c>
      <c r="H70" s="118" t="s">
        <v>637</v>
      </c>
      <c r="I70" s="70" t="s">
        <v>519</v>
      </c>
      <c r="J70" s="63" t="s">
        <v>723</v>
      </c>
      <c r="K70" s="68">
        <v>0</v>
      </c>
      <c r="M70" s="57">
        <v>0</v>
      </c>
      <c r="N70" s="58">
        <v>0</v>
      </c>
      <c r="O70" s="59">
        <v>0</v>
      </c>
      <c r="Q70" s="98">
        <f ca="1">CalculateInvestment(Assesment!$D$50,$H70,$I70,$M70:$O70,$K70,Assesment!$D$28,$E70,$F70)</f>
        <v>0</v>
      </c>
      <c r="S70" s="140">
        <f ca="1">$Q70</f>
        <v>0</v>
      </c>
    </row>
    <row r="71" spans="2:19" x14ac:dyDescent="0.25">
      <c r="D71" s="12" t="s">
        <v>597</v>
      </c>
      <c r="E71" s="62"/>
      <c r="F71" s="67" t="s">
        <v>10</v>
      </c>
      <c r="H71" s="118" t="s">
        <v>483</v>
      </c>
      <c r="I71" s="70" t="s">
        <v>519</v>
      </c>
      <c r="J71" s="63" t="s">
        <v>721</v>
      </c>
      <c r="K71" s="68">
        <v>0</v>
      </c>
      <c r="M71" s="57">
        <v>0</v>
      </c>
      <c r="N71" s="58">
        <v>0</v>
      </c>
      <c r="O71" s="59">
        <v>0</v>
      </c>
      <c r="Q71" s="98">
        <f ca="1">CalculateInvestment(Assesment!$D$50,$H71,$I71,$M71:$O71,$K71,Assesment!$D$28,$E71,$F71)</f>
        <v>0</v>
      </c>
      <c r="S71" s="140">
        <f ca="1">$Q71</f>
        <v>0</v>
      </c>
    </row>
    <row r="72" spans="2:19" x14ac:dyDescent="0.25">
      <c r="D72" s="12" t="s">
        <v>565</v>
      </c>
      <c r="E72" s="62"/>
      <c r="F72" s="67" t="s">
        <v>10</v>
      </c>
      <c r="H72" s="118" t="s">
        <v>483</v>
      </c>
      <c r="I72" s="70" t="s">
        <v>519</v>
      </c>
      <c r="J72" s="63" t="s">
        <v>720</v>
      </c>
      <c r="K72" s="68">
        <v>0</v>
      </c>
      <c r="M72" s="57">
        <v>0</v>
      </c>
      <c r="N72" s="58">
        <v>0</v>
      </c>
      <c r="O72" s="59">
        <v>0</v>
      </c>
      <c r="Q72" s="98">
        <f ca="1">CalculateInvestment(Assesment!$D$50,$H72,$I72,$M72:$O72,$K72,Assesment!$D$28,$E72,$F72)</f>
        <v>0</v>
      </c>
      <c r="S72" s="140">
        <f ca="1">$Q72</f>
        <v>0</v>
      </c>
    </row>
    <row r="73" spans="2:19" x14ac:dyDescent="0.25">
      <c r="D73" s="12" t="s">
        <v>566</v>
      </c>
      <c r="E73" s="62"/>
      <c r="F73" s="67" t="s">
        <v>10</v>
      </c>
      <c r="H73" s="118" t="s">
        <v>483</v>
      </c>
      <c r="I73" s="70" t="s">
        <v>519</v>
      </c>
      <c r="J73" s="63" t="s">
        <v>726</v>
      </c>
      <c r="K73" s="68">
        <v>0</v>
      </c>
      <c r="M73" s="57">
        <v>0</v>
      </c>
      <c r="N73" s="58">
        <v>0</v>
      </c>
      <c r="O73" s="59">
        <v>0</v>
      </c>
      <c r="Q73" s="98">
        <f ca="1">CalculateInvestment(Assesment!$D$50,$H73,$I73,$M73:$O73,$K73,Assesment!$D$28,$E73,$F73)</f>
        <v>0</v>
      </c>
      <c r="S73" s="140">
        <f ca="1">$Q73</f>
        <v>0</v>
      </c>
    </row>
    <row r="74" spans="2:19" x14ac:dyDescent="0.25">
      <c r="D74" s="12" t="s">
        <v>9</v>
      </c>
      <c r="E74" s="61"/>
      <c r="H74" s="118" t="s">
        <v>483</v>
      </c>
      <c r="I74" s="70" t="s">
        <v>519</v>
      </c>
      <c r="J74" s="63" t="s">
        <v>725</v>
      </c>
      <c r="K74" s="68">
        <v>0</v>
      </c>
      <c r="M74" s="57">
        <v>3500</v>
      </c>
      <c r="N74" s="58">
        <v>2500</v>
      </c>
      <c r="O74" s="59">
        <v>1500</v>
      </c>
      <c r="Q74" s="98">
        <f ca="1">CalculateInvestment(Assesment!$D$50,$H74,$I74,$M74:$O74,$K74,Assesment!$D$28,$E74,$F74)</f>
        <v>0</v>
      </c>
      <c r="S74" s="140">
        <f ca="1">$Q74</f>
        <v>0</v>
      </c>
    </row>
    <row r="75" spans="2:19" x14ac:dyDescent="0.25">
      <c r="Q75" s="64"/>
      <c r="S75" s="140">
        <f>$Q75</f>
        <v>0</v>
      </c>
    </row>
    <row r="76" spans="2:19" x14ac:dyDescent="0.25">
      <c r="B76" t="s">
        <v>435</v>
      </c>
      <c r="D76" s="12" t="s">
        <v>563</v>
      </c>
      <c r="E76" s="62"/>
      <c r="F76" s="67" t="s">
        <v>10</v>
      </c>
      <c r="H76" s="118" t="s">
        <v>482</v>
      </c>
      <c r="I76" s="70" t="s">
        <v>519</v>
      </c>
      <c r="J76" s="63"/>
      <c r="K76" s="68">
        <v>0</v>
      </c>
      <c r="M76" s="57">
        <v>1000</v>
      </c>
      <c r="N76" s="58">
        <v>700</v>
      </c>
      <c r="O76" s="59">
        <v>600</v>
      </c>
      <c r="Q76" s="98" t="str">
        <f ca="1">CalculateInvestment(Assesment!$D$50,$H76,$I76,$M76:$O76,$K76,Assesment!$D$28,$E76,$F76)</f>
        <v>REQUIRED</v>
      </c>
      <c r="S76" s="140" t="str">
        <f t="shared" ca="1" si="0"/>
        <v>REQUIRED</v>
      </c>
    </row>
    <row r="77" spans="2:19" x14ac:dyDescent="0.25">
      <c r="D77" s="12" t="s">
        <v>594</v>
      </c>
      <c r="E77" s="62"/>
      <c r="H77" s="118" t="s">
        <v>516</v>
      </c>
      <c r="I77" s="70" t="s">
        <v>519</v>
      </c>
      <c r="J77" s="63" t="s">
        <v>724</v>
      </c>
      <c r="K77" s="68">
        <v>500</v>
      </c>
      <c r="M77" s="57">
        <v>2500</v>
      </c>
      <c r="N77" s="58">
        <v>1500</v>
      </c>
      <c r="O77" s="59">
        <v>800</v>
      </c>
      <c r="Q77" s="98">
        <f ca="1">CalculateInvestment(Assesment!$D$50,$H77,$I77,$M77:$O77,$K77,Assesment!$D$28,$E77,$F77)</f>
        <v>500</v>
      </c>
      <c r="S77" s="140">
        <f t="shared" ca="1" si="0"/>
        <v>500</v>
      </c>
    </row>
    <row r="78" spans="2:19" x14ac:dyDescent="0.25">
      <c r="D78" s="12" t="s">
        <v>595</v>
      </c>
      <c r="E78" s="61"/>
      <c r="F78" s="67" t="s">
        <v>10</v>
      </c>
      <c r="H78" s="118" t="s">
        <v>483</v>
      </c>
      <c r="I78" s="70" t="s">
        <v>519</v>
      </c>
      <c r="J78" s="63" t="s">
        <v>722</v>
      </c>
      <c r="K78" s="68">
        <v>0</v>
      </c>
      <c r="M78" s="57">
        <v>0</v>
      </c>
      <c r="N78" s="58">
        <v>0</v>
      </c>
      <c r="O78" s="59">
        <v>0</v>
      </c>
      <c r="Q78" s="98">
        <f ca="1">CalculateInvestment(Assesment!$D$50,$H78,$I78,$M78:$O78,$K78,Assesment!$D$28,$E78,$F78)</f>
        <v>0</v>
      </c>
      <c r="S78" s="140">
        <f t="shared" ca="1" si="0"/>
        <v>0</v>
      </c>
    </row>
    <row r="79" spans="2:19" x14ac:dyDescent="0.25">
      <c r="D79" s="12" t="s">
        <v>596</v>
      </c>
      <c r="E79" s="62"/>
      <c r="F79" s="67" t="s">
        <v>10</v>
      </c>
      <c r="H79" s="118" t="s">
        <v>483</v>
      </c>
      <c r="I79" s="70" t="s">
        <v>519</v>
      </c>
      <c r="J79" s="63" t="s">
        <v>719</v>
      </c>
      <c r="K79" s="68">
        <v>0</v>
      </c>
      <c r="M79" s="57">
        <v>0</v>
      </c>
      <c r="N79" s="58">
        <v>0</v>
      </c>
      <c r="O79" s="59">
        <v>0</v>
      </c>
      <c r="Q79" s="98">
        <f ca="1">CalculateInvestment(Assesment!$D$50,$H79,$I79,$M79:$O79,$K79,Assesment!$D$28,$E79,$F79)</f>
        <v>0</v>
      </c>
      <c r="S79" s="140">
        <f t="shared" ca="1" si="0"/>
        <v>0</v>
      </c>
    </row>
    <row r="80" spans="2:19" x14ac:dyDescent="0.25">
      <c r="Q80" s="64"/>
      <c r="S80" s="140">
        <f t="shared" si="0"/>
        <v>0</v>
      </c>
    </row>
    <row r="81" spans="2:19" x14ac:dyDescent="0.25">
      <c r="B81" t="s">
        <v>436</v>
      </c>
      <c r="D81" s="12" t="s">
        <v>413</v>
      </c>
      <c r="E81" s="91" t="s">
        <v>549</v>
      </c>
      <c r="F81" s="67" t="s">
        <v>10</v>
      </c>
      <c r="H81" s="118" t="s">
        <v>482</v>
      </c>
      <c r="I81" s="70" t="s">
        <v>519</v>
      </c>
      <c r="J81" s="63"/>
      <c r="K81" s="68">
        <v>0</v>
      </c>
      <c r="M81" s="57">
        <v>4000</v>
      </c>
      <c r="N81" s="58">
        <v>2500</v>
      </c>
      <c r="O81" s="59">
        <v>1500</v>
      </c>
      <c r="Q81" s="98" t="str">
        <f ca="1">CalculateInvestment(Assesment!$D$50,$H81,$I81,$M81:$O81,$K81,Assesment!$D$28,$E81,$F81)</f>
        <v>REQUIRED</v>
      </c>
      <c r="S81" s="140" t="str">
        <f t="shared" ref="S81:S108" ca="1" si="1">$Q81</f>
        <v>REQUIRED</v>
      </c>
    </row>
    <row r="82" spans="2:19" x14ac:dyDescent="0.25">
      <c r="D82" s="12" t="s">
        <v>437</v>
      </c>
      <c r="E82" s="61"/>
      <c r="F82" s="67" t="s">
        <v>10</v>
      </c>
      <c r="H82" s="118" t="s">
        <v>483</v>
      </c>
      <c r="I82" s="70" t="s">
        <v>519</v>
      </c>
      <c r="J82" s="63"/>
      <c r="K82" s="68">
        <v>0</v>
      </c>
      <c r="M82" s="57">
        <v>1500</v>
      </c>
      <c r="N82" s="58">
        <v>1000</v>
      </c>
      <c r="O82" s="59">
        <v>500</v>
      </c>
      <c r="Q82" s="98">
        <f ca="1">CalculateInvestment(Assesment!$D$50,$H82,$I82,$M82:$O82,$K82,Assesment!$D$28,$E82,$F82)</f>
        <v>0</v>
      </c>
      <c r="S82" s="140">
        <f t="shared" ca="1" si="1"/>
        <v>0</v>
      </c>
    </row>
    <row r="83" spans="2:19" x14ac:dyDescent="0.25">
      <c r="Q83" s="64"/>
      <c r="S83" s="140">
        <f t="shared" si="1"/>
        <v>0</v>
      </c>
    </row>
    <row r="84" spans="2:19" x14ac:dyDescent="0.25">
      <c r="B84" t="s">
        <v>438</v>
      </c>
      <c r="D84" s="12" t="s">
        <v>409</v>
      </c>
      <c r="E84" s="91" t="s">
        <v>549</v>
      </c>
      <c r="F84" s="67" t="s">
        <v>10</v>
      </c>
      <c r="H84" s="118" t="s">
        <v>482</v>
      </c>
      <c r="I84" s="70" t="s">
        <v>519</v>
      </c>
      <c r="J84" s="63"/>
      <c r="K84" s="68">
        <v>0</v>
      </c>
      <c r="M84" s="57">
        <v>3000</v>
      </c>
      <c r="N84" s="58">
        <v>2000</v>
      </c>
      <c r="O84" s="59">
        <v>1000</v>
      </c>
      <c r="Q84" s="98" t="str">
        <f ca="1">CalculateInvestment(Assesment!$D$50,$H84,$I84,$M84:$O84,$K84,Assesment!$D$28,$E84,$F84)</f>
        <v>REQUIRED</v>
      </c>
      <c r="S84" s="140" t="str">
        <f t="shared" ca="1" si="1"/>
        <v>REQUIRED</v>
      </c>
    </row>
    <row r="85" spans="2:19" x14ac:dyDescent="0.25">
      <c r="D85" s="12" t="s">
        <v>410</v>
      </c>
      <c r="E85" s="61"/>
      <c r="F85" s="67" t="s">
        <v>10</v>
      </c>
      <c r="H85" s="118" t="s">
        <v>482</v>
      </c>
      <c r="I85" s="70" t="s">
        <v>519</v>
      </c>
      <c r="J85" s="63"/>
      <c r="K85" s="68">
        <v>0</v>
      </c>
      <c r="M85" s="57">
        <v>1000</v>
      </c>
      <c r="N85" s="58">
        <v>750</v>
      </c>
      <c r="O85" s="59">
        <v>400</v>
      </c>
      <c r="Q85" s="98" t="str">
        <f ca="1">CalculateInvestment(Assesment!$D$50,$H85,$I85,$M85:$O85,$K85,Assesment!$D$28,$E85,$F85)</f>
        <v>REQUIRED</v>
      </c>
      <c r="S85" s="140" t="str">
        <f t="shared" ca="1" si="1"/>
        <v>REQUIRED</v>
      </c>
    </row>
    <row r="86" spans="2:19" x14ac:dyDescent="0.25">
      <c r="D86" s="12" t="s">
        <v>439</v>
      </c>
      <c r="E86" s="61"/>
      <c r="F86" s="67" t="s">
        <v>10</v>
      </c>
      <c r="H86" s="118" t="s">
        <v>482</v>
      </c>
      <c r="I86" s="70" t="s">
        <v>519</v>
      </c>
      <c r="J86" s="63"/>
      <c r="K86" s="68">
        <v>0</v>
      </c>
      <c r="M86" s="57">
        <v>700</v>
      </c>
      <c r="N86" s="58">
        <v>400</v>
      </c>
      <c r="O86" s="59">
        <v>200</v>
      </c>
      <c r="Q86" s="98" t="str">
        <f ca="1">CalculateInvestment(Assesment!$D$50,$H86,$I86,$M86:$O86,$K86,Assesment!$D$28,$E86,$F86)</f>
        <v>REQUIRED</v>
      </c>
      <c r="S86" s="140" t="str">
        <f t="shared" ca="1" si="1"/>
        <v>REQUIRED</v>
      </c>
    </row>
    <row r="87" spans="2:19" x14ac:dyDescent="0.25">
      <c r="D87" s="12" t="s">
        <v>440</v>
      </c>
      <c r="E87" s="61"/>
      <c r="H87" s="118" t="s">
        <v>482</v>
      </c>
      <c r="I87" s="70" t="s">
        <v>519</v>
      </c>
      <c r="J87" s="63"/>
      <c r="K87" s="68">
        <v>0</v>
      </c>
      <c r="M87" s="57">
        <v>3000</v>
      </c>
      <c r="N87" s="58">
        <v>2000</v>
      </c>
      <c r="O87" s="59">
        <v>1500</v>
      </c>
      <c r="Q87" s="98">
        <f ca="1">CalculateInvestment(Assesment!$D$50,$H87,$I87,$M87:$O87,$K87,Assesment!$D$28,$E87,$F87)</f>
        <v>0</v>
      </c>
      <c r="S87" s="140">
        <f t="shared" ca="1" si="1"/>
        <v>0</v>
      </c>
    </row>
    <row r="88" spans="2:19" x14ac:dyDescent="0.25">
      <c r="D88" s="12" t="s">
        <v>636</v>
      </c>
      <c r="E88" s="61"/>
      <c r="H88" s="118" t="s">
        <v>482</v>
      </c>
      <c r="I88" s="70" t="s">
        <v>519</v>
      </c>
      <c r="J88" s="63"/>
      <c r="K88" s="68">
        <v>0</v>
      </c>
      <c r="M88" s="57">
        <v>400</v>
      </c>
      <c r="N88" s="58">
        <v>275</v>
      </c>
      <c r="O88" s="59">
        <v>200</v>
      </c>
      <c r="Q88" s="98">
        <f ca="1">CalculateInvestment(Assesment!$D$50,$H88,$I88,$M88:$O88,$K88,Assesment!$D$28,$E88,$F88)</f>
        <v>0</v>
      </c>
      <c r="S88" s="140">
        <f t="shared" ca="1" si="1"/>
        <v>0</v>
      </c>
    </row>
    <row r="89" spans="2:19" x14ac:dyDescent="0.25">
      <c r="Q89" s="64"/>
      <c r="S89" s="140">
        <f t="shared" si="1"/>
        <v>0</v>
      </c>
    </row>
    <row r="90" spans="2:19" x14ac:dyDescent="0.25">
      <c r="B90" t="s">
        <v>441</v>
      </c>
      <c r="D90" s="12" t="s">
        <v>411</v>
      </c>
      <c r="E90" s="91" t="s">
        <v>549</v>
      </c>
      <c r="F90" s="67" t="s">
        <v>10</v>
      </c>
      <c r="H90" s="118" t="s">
        <v>482</v>
      </c>
      <c r="I90" s="70" t="s">
        <v>519</v>
      </c>
      <c r="J90" s="63"/>
      <c r="K90" s="68">
        <v>0</v>
      </c>
      <c r="M90" s="57">
        <v>1500</v>
      </c>
      <c r="N90" s="58">
        <v>1000</v>
      </c>
      <c r="O90" s="59">
        <v>500</v>
      </c>
      <c r="Q90" s="98" t="str">
        <f ca="1">CalculateInvestment(Assesment!$D$50,$H90,$I90,$M90:$O90,$K90,Assesment!$D$28,$E90,$F90)</f>
        <v>REQUIRED</v>
      </c>
      <c r="S90" s="140" t="str">
        <f t="shared" ca="1" si="1"/>
        <v>REQUIRED</v>
      </c>
    </row>
    <row r="91" spans="2:19" x14ac:dyDescent="0.25">
      <c r="D91" s="12" t="s">
        <v>412</v>
      </c>
      <c r="E91" s="61"/>
      <c r="F91" s="67" t="s">
        <v>10</v>
      </c>
      <c r="H91" s="118" t="s">
        <v>482</v>
      </c>
      <c r="I91" s="70" t="s">
        <v>519</v>
      </c>
      <c r="J91" s="63"/>
      <c r="K91" s="68">
        <v>0</v>
      </c>
      <c r="M91" s="57">
        <v>2500</v>
      </c>
      <c r="N91" s="58">
        <v>1250</v>
      </c>
      <c r="O91" s="59">
        <v>800</v>
      </c>
      <c r="Q91" s="98" t="str">
        <f ca="1">CalculateInvestment(Assesment!$D$50,$H91,$I91,$M91:$O91,$K91,Assesment!$D$28,$E91,$F91)</f>
        <v>REQUIRED</v>
      </c>
      <c r="S91" s="140" t="str">
        <f t="shared" ca="1" si="1"/>
        <v>REQUIRED</v>
      </c>
    </row>
    <row r="92" spans="2:19" x14ac:dyDescent="0.25">
      <c r="D92" s="12" t="s">
        <v>733</v>
      </c>
      <c r="E92" s="61"/>
      <c r="H92" s="118" t="s">
        <v>484</v>
      </c>
      <c r="I92" s="70" t="s">
        <v>519</v>
      </c>
      <c r="J92" s="63" t="s">
        <v>734</v>
      </c>
      <c r="K92" s="68">
        <v>300</v>
      </c>
      <c r="M92" s="57">
        <v>6000</v>
      </c>
      <c r="N92" s="58">
        <v>3500</v>
      </c>
      <c r="O92" s="59">
        <v>2500</v>
      </c>
      <c r="Q92" s="98">
        <f ca="1">CalculateInvestment(Assesment!$D$50,$H92,$I92,$M92:$O92,$K92,Assesment!$D$28,$E92,$F92)</f>
        <v>300</v>
      </c>
      <c r="S92" s="140">
        <f t="shared" ca="1" si="1"/>
        <v>300</v>
      </c>
    </row>
    <row r="93" spans="2:19" x14ac:dyDescent="0.25">
      <c r="D93" s="12" t="s">
        <v>598</v>
      </c>
      <c r="E93" s="61"/>
      <c r="H93" s="118" t="s">
        <v>483</v>
      </c>
      <c r="I93" s="70" t="s">
        <v>519</v>
      </c>
      <c r="J93" s="63" t="s">
        <v>735</v>
      </c>
      <c r="K93" s="68">
        <v>0</v>
      </c>
      <c r="M93" s="57">
        <v>2000</v>
      </c>
      <c r="N93" s="58">
        <v>1000</v>
      </c>
      <c r="O93" s="59">
        <v>700</v>
      </c>
      <c r="Q93" s="98">
        <f ca="1">CalculateInvestment(Assesment!$D$50,$H93,$I93,$M93:$O93,$K93,Assesment!$D$28,$E93,$F93)</f>
        <v>0</v>
      </c>
      <c r="S93" s="140">
        <f t="shared" ca="1" si="1"/>
        <v>0</v>
      </c>
    </row>
    <row r="94" spans="2:19" x14ac:dyDescent="0.25">
      <c r="Q94" s="64"/>
      <c r="S94" s="140">
        <f t="shared" si="1"/>
        <v>0</v>
      </c>
    </row>
    <row r="95" spans="2:19" x14ac:dyDescent="0.25">
      <c r="B95" t="s">
        <v>0</v>
      </c>
      <c r="D95" s="12" t="s">
        <v>635</v>
      </c>
      <c r="E95" s="61"/>
      <c r="F95" s="67" t="s">
        <v>10</v>
      </c>
      <c r="H95" s="118" t="s">
        <v>483</v>
      </c>
      <c r="I95" s="70" t="s">
        <v>519</v>
      </c>
      <c r="J95" s="63"/>
      <c r="K95" s="68">
        <v>0</v>
      </c>
      <c r="M95" s="57">
        <v>700</v>
      </c>
      <c r="N95" s="58">
        <v>400</v>
      </c>
      <c r="O95" s="59">
        <v>200</v>
      </c>
      <c r="Q95" s="98">
        <f ca="1">CalculateInvestment(Assesment!$D$50,$H95,$I95,$M95:$O95,$K95,Assesment!$D$28,$E95,$F95)</f>
        <v>0</v>
      </c>
      <c r="S95" s="140">
        <f t="shared" ca="1" si="1"/>
        <v>0</v>
      </c>
    </row>
    <row r="96" spans="2:19" x14ac:dyDescent="0.25">
      <c r="D96" s="12" t="s">
        <v>599</v>
      </c>
      <c r="E96" s="61"/>
      <c r="F96" s="67" t="s">
        <v>10</v>
      </c>
      <c r="H96" s="118" t="s">
        <v>638</v>
      </c>
      <c r="I96" s="70" t="s">
        <v>519</v>
      </c>
      <c r="J96" s="63" t="s">
        <v>729</v>
      </c>
      <c r="K96" s="68">
        <v>300</v>
      </c>
      <c r="M96" s="57">
        <v>1500</v>
      </c>
      <c r="N96" s="58">
        <v>1200</v>
      </c>
      <c r="O96" s="59">
        <v>800</v>
      </c>
      <c r="Q96" s="98">
        <f ca="1">CalculateInvestment(Assesment!$D$50,$H96,$I96,$M96:$O96,$K96,Assesment!$D$28,$E96,$F96)</f>
        <v>300</v>
      </c>
      <c r="S96" s="140">
        <f t="shared" ca="1" si="1"/>
        <v>300</v>
      </c>
    </row>
    <row r="97" spans="2:19" x14ac:dyDescent="0.25">
      <c r="D97" s="12" t="s">
        <v>600</v>
      </c>
      <c r="E97" s="61"/>
      <c r="F97" s="67" t="s">
        <v>10</v>
      </c>
      <c r="H97" s="118" t="s">
        <v>482</v>
      </c>
      <c r="I97" s="70" t="s">
        <v>519</v>
      </c>
      <c r="J97" s="63"/>
      <c r="K97" s="68">
        <v>0</v>
      </c>
      <c r="M97" s="57">
        <v>2000</v>
      </c>
      <c r="N97" s="58">
        <v>1200</v>
      </c>
      <c r="O97" s="59">
        <v>700</v>
      </c>
      <c r="Q97" s="98" t="str">
        <f ca="1">CalculateInvestment(Assesment!$D$50,$H97,$I97,$M97:$O97,$K97,Assesment!$D$28,$E97,$F97)</f>
        <v>REQUIRED</v>
      </c>
      <c r="S97" s="140" t="str">
        <f t="shared" ca="1" si="1"/>
        <v>REQUIRED</v>
      </c>
    </row>
    <row r="98" spans="2:19" x14ac:dyDescent="0.25">
      <c r="D98" s="12" t="s">
        <v>451</v>
      </c>
      <c r="E98" s="61"/>
      <c r="F98" s="67" t="s">
        <v>10</v>
      </c>
      <c r="H98" s="118" t="s">
        <v>482</v>
      </c>
      <c r="I98" s="70" t="s">
        <v>519</v>
      </c>
      <c r="J98" s="63"/>
      <c r="K98" s="68">
        <v>0</v>
      </c>
      <c r="M98" s="57">
        <v>6000</v>
      </c>
      <c r="N98" s="58">
        <v>4000</v>
      </c>
      <c r="O98" s="59">
        <v>2500</v>
      </c>
      <c r="Q98" s="98" t="str">
        <f ca="1">CalculateInvestment(Assesment!$D$50,$H98,$I98,$M98:$O98,$K98,Assesment!$D$28,$E98,$F98)</f>
        <v>REQUIRED</v>
      </c>
      <c r="S98" s="140" t="str">
        <f t="shared" ca="1" si="1"/>
        <v>REQUIRED</v>
      </c>
    </row>
    <row r="99" spans="2:19" x14ac:dyDescent="0.25">
      <c r="D99" s="12" t="s">
        <v>640</v>
      </c>
      <c r="E99" s="61"/>
      <c r="F99" s="67" t="s">
        <v>10</v>
      </c>
      <c r="H99" s="118" t="s">
        <v>482</v>
      </c>
      <c r="I99" s="70" t="s">
        <v>519</v>
      </c>
      <c r="J99" s="63"/>
      <c r="K99" s="68">
        <v>0</v>
      </c>
      <c r="M99" s="57">
        <v>2500</v>
      </c>
      <c r="N99" s="58">
        <v>1500</v>
      </c>
      <c r="O99" s="59">
        <v>1200</v>
      </c>
      <c r="Q99" s="98" t="str">
        <f ca="1">CalculateInvestment(Assesment!$D$50,$H99,$I99,$M99:$O99,$K99,Assesment!$D$28,$E99,$F99)</f>
        <v>REQUIRED</v>
      </c>
      <c r="S99" s="140" t="str">
        <f t="shared" ca="1" si="1"/>
        <v>REQUIRED</v>
      </c>
    </row>
    <row r="100" spans="2:19" x14ac:dyDescent="0.25">
      <c r="D100" s="12" t="s">
        <v>641</v>
      </c>
      <c r="E100" s="61"/>
      <c r="H100" s="118" t="s">
        <v>482</v>
      </c>
      <c r="I100" s="70" t="s">
        <v>519</v>
      </c>
      <c r="J100" s="63"/>
      <c r="K100" s="68">
        <v>0</v>
      </c>
      <c r="M100" s="57">
        <v>2500</v>
      </c>
      <c r="N100" s="58">
        <v>1500</v>
      </c>
      <c r="O100" s="59">
        <v>1200</v>
      </c>
      <c r="Q100" s="98">
        <f ca="1">CalculateInvestment(Assesment!$D$50,$H100,$I100,$M100:$O100,$K100,Assesment!$D$28,$E100,$F100)</f>
        <v>0</v>
      </c>
      <c r="S100" s="140">
        <f t="shared" ca="1" si="1"/>
        <v>0</v>
      </c>
    </row>
    <row r="101" spans="2:19" x14ac:dyDescent="0.25">
      <c r="D101" s="12" t="s">
        <v>453</v>
      </c>
      <c r="E101" s="61"/>
      <c r="H101" s="118" t="s">
        <v>483</v>
      </c>
      <c r="I101" s="70" t="s">
        <v>519</v>
      </c>
      <c r="J101" s="63"/>
      <c r="K101" s="68">
        <v>0</v>
      </c>
      <c r="M101" s="57">
        <v>4500</v>
      </c>
      <c r="N101" s="58">
        <v>3000</v>
      </c>
      <c r="O101" s="59">
        <v>2500</v>
      </c>
      <c r="Q101" s="98">
        <f ca="1">CalculateInvestment(Assesment!$D$50,$H101,$I101,$M101:$O101,$K101,Assesment!$D$28,$E101,$F101)</f>
        <v>0</v>
      </c>
      <c r="S101" s="140">
        <f t="shared" ca="1" si="1"/>
        <v>0</v>
      </c>
    </row>
    <row r="102" spans="2:19" x14ac:dyDescent="0.25">
      <c r="D102" s="12" t="s">
        <v>454</v>
      </c>
      <c r="E102" s="61"/>
      <c r="F102" s="67" t="s">
        <v>10</v>
      </c>
      <c r="H102" s="118" t="s">
        <v>483</v>
      </c>
      <c r="I102" s="70" t="s">
        <v>519</v>
      </c>
      <c r="J102" s="63" t="s">
        <v>728</v>
      </c>
      <c r="K102" s="68">
        <v>0</v>
      </c>
      <c r="M102" s="57">
        <v>1000</v>
      </c>
      <c r="N102" s="58">
        <v>800</v>
      </c>
      <c r="O102" s="59">
        <v>400</v>
      </c>
      <c r="Q102" s="98">
        <f ca="1">CalculateInvestment(Assesment!$D$50,$H102,$I102,$M102:$O102,$K102,Assesment!$D$28,$E102,$F102)</f>
        <v>0</v>
      </c>
      <c r="S102" s="140">
        <f t="shared" ca="1" si="1"/>
        <v>0</v>
      </c>
    </row>
    <row r="103" spans="2:19" x14ac:dyDescent="0.25">
      <c r="Q103" s="64"/>
      <c r="S103" s="140">
        <f t="shared" si="1"/>
        <v>0</v>
      </c>
    </row>
    <row r="104" spans="2:19" x14ac:dyDescent="0.25">
      <c r="B104" t="s">
        <v>655</v>
      </c>
      <c r="D104" s="12" t="s">
        <v>452</v>
      </c>
      <c r="E104" s="61"/>
      <c r="F104" s="67" t="s">
        <v>10</v>
      </c>
      <c r="H104" s="118" t="s">
        <v>483</v>
      </c>
      <c r="I104" s="70" t="s">
        <v>519</v>
      </c>
      <c r="J104" s="63"/>
      <c r="K104" s="68">
        <v>0</v>
      </c>
      <c r="M104" s="57">
        <v>800</v>
      </c>
      <c r="N104" s="58">
        <v>600</v>
      </c>
      <c r="O104" s="59">
        <v>400</v>
      </c>
      <c r="Q104" s="98">
        <f ca="1">CalculateInvestment(Assesment!$D$50,$H104,$I104,$M104:$O104,$K104,Assesment!$D$28,$E104,$F104)</f>
        <v>0</v>
      </c>
      <c r="S104" s="140">
        <f t="shared" ca="1" si="1"/>
        <v>0</v>
      </c>
    </row>
    <row r="105" spans="2:19" x14ac:dyDescent="0.25">
      <c r="D105" s="12" t="s">
        <v>634</v>
      </c>
      <c r="E105" s="61"/>
      <c r="F105" s="67" t="s">
        <v>10</v>
      </c>
      <c r="H105" s="118" t="s">
        <v>482</v>
      </c>
      <c r="I105" s="70" t="s">
        <v>519</v>
      </c>
      <c r="J105" s="63"/>
      <c r="K105" s="68">
        <v>0</v>
      </c>
      <c r="M105" s="57">
        <v>250</v>
      </c>
      <c r="N105" s="58">
        <v>150</v>
      </c>
      <c r="O105" s="59">
        <v>100</v>
      </c>
      <c r="Q105" s="98" t="str">
        <f ca="1">CalculateInvestment(Assesment!$D$50,$H105,$I105,$M105:$O105,$K105,Assesment!$D$28,$E105,$F105)</f>
        <v>REQUIRED</v>
      </c>
      <c r="S105" s="140" t="str">
        <f t="shared" ca="1" si="1"/>
        <v>REQUIRED</v>
      </c>
    </row>
    <row r="106" spans="2:19" x14ac:dyDescent="0.25">
      <c r="D106" s="12" t="s">
        <v>633</v>
      </c>
      <c r="E106" s="61"/>
      <c r="H106" s="118" t="s">
        <v>483</v>
      </c>
      <c r="I106" s="70" t="s">
        <v>519</v>
      </c>
      <c r="J106" s="63"/>
      <c r="K106" s="68">
        <v>0</v>
      </c>
      <c r="M106" s="57">
        <v>3500</v>
      </c>
      <c r="N106" s="58">
        <v>2000</v>
      </c>
      <c r="O106" s="59">
        <v>1000</v>
      </c>
      <c r="Q106" s="98">
        <f ca="1">CalculateInvestment(Assesment!$D$50,$H106,$I106,$M106:$O106,$K106,Assesment!$D$28,$E106,$F106)</f>
        <v>0</v>
      </c>
      <c r="S106" s="140">
        <f t="shared" ca="1" si="1"/>
        <v>0</v>
      </c>
    </row>
    <row r="107" spans="2:19" x14ac:dyDescent="0.25">
      <c r="D107" s="12" t="s">
        <v>705</v>
      </c>
      <c r="E107" s="61"/>
      <c r="H107" s="118" t="s">
        <v>483</v>
      </c>
      <c r="I107" s="70" t="s">
        <v>519</v>
      </c>
      <c r="J107" s="63"/>
      <c r="K107" s="68">
        <v>0</v>
      </c>
      <c r="M107" s="57">
        <v>1500</v>
      </c>
      <c r="N107" s="58">
        <v>800</v>
      </c>
      <c r="O107" s="59">
        <v>400</v>
      </c>
      <c r="Q107" s="98">
        <f ca="1">CalculateInvestment(Assesment!$D$50,$H107,$I107,$M107:$O107,$K107,Assesment!$D$28,$E107,$F107)</f>
        <v>0</v>
      </c>
      <c r="S107" s="140">
        <f t="shared" ca="1" si="1"/>
        <v>0</v>
      </c>
    </row>
    <row r="108" spans="2:19" x14ac:dyDescent="0.25">
      <c r="Q108" s="64"/>
      <c r="S108" s="140">
        <f t="shared" si="1"/>
        <v>0</v>
      </c>
    </row>
    <row r="109" spans="2:19" x14ac:dyDescent="0.25">
      <c r="B109" t="s">
        <v>458</v>
      </c>
      <c r="D109" s="12" t="s">
        <v>456</v>
      </c>
      <c r="E109" s="61"/>
      <c r="H109" s="118" t="s">
        <v>482</v>
      </c>
      <c r="I109" s="70" t="s">
        <v>519</v>
      </c>
      <c r="J109" s="63"/>
      <c r="K109" s="68">
        <v>0</v>
      </c>
      <c r="M109" s="57">
        <v>7000</v>
      </c>
      <c r="N109" s="58">
        <v>3000</v>
      </c>
      <c r="O109" s="59">
        <v>2000</v>
      </c>
      <c r="Q109" s="98">
        <f ca="1">CalculateInvestment(Assesment!$D$50,$H109,$I109,$M109:$O109,$K109,Assesment!$D$28,$E109,$F109)</f>
        <v>0</v>
      </c>
      <c r="S109" s="140">
        <f ca="1">$Q109</f>
        <v>0</v>
      </c>
    </row>
    <row r="110" spans="2:19" x14ac:dyDescent="0.25">
      <c r="D110" s="12" t="s">
        <v>457</v>
      </c>
      <c r="E110" s="61"/>
      <c r="H110" s="118" t="s">
        <v>482</v>
      </c>
      <c r="I110" s="70" t="s">
        <v>519</v>
      </c>
      <c r="J110" s="63"/>
      <c r="K110" s="68">
        <v>0</v>
      </c>
      <c r="M110" s="57">
        <v>3000</v>
      </c>
      <c r="N110" s="58">
        <v>2000</v>
      </c>
      <c r="O110" s="59">
        <v>1200</v>
      </c>
      <c r="Q110" s="98">
        <f ca="1">CalculateInvestment(Assesment!$D$50,$H110,$I110,$M110:$O110,$K110,Assesment!$D$28,$E110,$F110)</f>
        <v>0</v>
      </c>
      <c r="S110" s="140">
        <f t="shared" ref="S110:S147" ca="1" si="2">$Q110</f>
        <v>0</v>
      </c>
    </row>
    <row r="111" spans="2:19" x14ac:dyDescent="0.25">
      <c r="D111" s="12" t="s">
        <v>459</v>
      </c>
      <c r="E111" s="61"/>
      <c r="F111" s="67" t="s">
        <v>10</v>
      </c>
      <c r="H111" s="118" t="s">
        <v>482</v>
      </c>
      <c r="I111" s="70" t="s">
        <v>519</v>
      </c>
      <c r="J111" s="63"/>
      <c r="K111" s="68">
        <v>0</v>
      </c>
      <c r="M111" s="57">
        <v>1200</v>
      </c>
      <c r="N111" s="58">
        <v>1000</v>
      </c>
      <c r="O111" s="59">
        <v>500</v>
      </c>
      <c r="Q111" s="98" t="str">
        <f ca="1">CalculateInvestment(Assesment!$D$50,$H111,$I111,$M111:$O111,$K111,Assesment!$D$28,$E111,$F111)</f>
        <v>REQUIRED</v>
      </c>
      <c r="S111" s="140" t="str">
        <f t="shared" ca="1" si="2"/>
        <v>REQUIRED</v>
      </c>
    </row>
    <row r="112" spans="2:19" x14ac:dyDescent="0.25">
      <c r="D112" s="12" t="s">
        <v>6</v>
      </c>
      <c r="E112" s="61"/>
      <c r="F112" s="67" t="s">
        <v>10</v>
      </c>
      <c r="H112" s="118" t="s">
        <v>482</v>
      </c>
      <c r="I112" s="70" t="s">
        <v>519</v>
      </c>
      <c r="J112" s="63"/>
      <c r="K112" s="68">
        <v>0</v>
      </c>
      <c r="M112" s="57">
        <v>400</v>
      </c>
      <c r="N112" s="58">
        <v>250</v>
      </c>
      <c r="O112" s="59">
        <v>150</v>
      </c>
      <c r="Q112" s="98" t="str">
        <f ca="1">CalculateInvestment(Assesment!$D$50,$H112,$I112,$M112:$O112,$K112,Assesment!$D$28,$E112,$F112)</f>
        <v>REQUIRED</v>
      </c>
      <c r="S112" s="140" t="str">
        <f t="shared" ca="1" si="2"/>
        <v>REQUIRED</v>
      </c>
    </row>
    <row r="113" spans="2:19" x14ac:dyDescent="0.25">
      <c r="Q113" s="64"/>
      <c r="S113" s="140">
        <f t="shared" si="2"/>
        <v>0</v>
      </c>
    </row>
    <row r="114" spans="2:19" x14ac:dyDescent="0.25">
      <c r="B114" t="s">
        <v>442</v>
      </c>
      <c r="D114" s="12" t="s">
        <v>443</v>
      </c>
      <c r="E114" s="91" t="s">
        <v>549</v>
      </c>
      <c r="F114" s="67" t="s">
        <v>10</v>
      </c>
      <c r="H114" s="118" t="s">
        <v>482</v>
      </c>
      <c r="I114" s="70" t="s">
        <v>519</v>
      </c>
      <c r="J114" s="63"/>
      <c r="K114" s="68">
        <v>0</v>
      </c>
      <c r="M114" s="57">
        <v>0</v>
      </c>
      <c r="N114" s="58">
        <v>0</v>
      </c>
      <c r="O114" s="59">
        <v>0</v>
      </c>
      <c r="Q114" s="98" t="str">
        <f ca="1">CalculateInvestment(Assesment!$D$50,$H114,$I114,$M114:$O114,$K114,Assesment!$D$28,$E114,$F114)</f>
        <v>REQUIRED</v>
      </c>
      <c r="S114" s="140" t="str">
        <f t="shared" ca="1" si="2"/>
        <v>REQUIRED</v>
      </c>
    </row>
    <row r="115" spans="2:19" x14ac:dyDescent="0.25">
      <c r="D115" s="12" t="s">
        <v>447</v>
      </c>
      <c r="E115" s="91" t="s">
        <v>549</v>
      </c>
      <c r="F115" s="67" t="s">
        <v>10</v>
      </c>
      <c r="H115" s="118" t="s">
        <v>482</v>
      </c>
      <c r="I115" s="70" t="s">
        <v>519</v>
      </c>
      <c r="J115" s="63"/>
      <c r="K115" s="68">
        <v>0</v>
      </c>
      <c r="M115" s="57">
        <v>5000</v>
      </c>
      <c r="N115" s="58">
        <v>3000</v>
      </c>
      <c r="O115" s="59">
        <v>1500</v>
      </c>
      <c r="Q115" s="98" t="str">
        <f ca="1">CalculateInvestment(Assesment!$D$50,$H115,$I115,$M115:$O115,$K115,Assesment!$D$28,$E115,$F115)</f>
        <v>REQUIRED</v>
      </c>
      <c r="S115" s="140" t="str">
        <f t="shared" ca="1" si="2"/>
        <v>REQUIRED</v>
      </c>
    </row>
    <row r="116" spans="2:19" x14ac:dyDescent="0.25">
      <c r="D116" s="12" t="s">
        <v>448</v>
      </c>
      <c r="E116" s="91" t="s">
        <v>549</v>
      </c>
      <c r="F116" s="67" t="s">
        <v>10</v>
      </c>
      <c r="H116" s="118" t="s">
        <v>482</v>
      </c>
      <c r="I116" s="70" t="s">
        <v>519</v>
      </c>
      <c r="J116" s="63"/>
      <c r="K116" s="68">
        <v>0</v>
      </c>
      <c r="M116" s="57">
        <v>2000</v>
      </c>
      <c r="N116" s="58">
        <v>1200</v>
      </c>
      <c r="O116" s="59">
        <v>700</v>
      </c>
      <c r="Q116" s="98" t="str">
        <f ca="1">CalculateInvestment(Assesment!$D$50,$H116,$I116,$M116:$O116,$K116,Assesment!$D$28,$E116,$F116)</f>
        <v>REQUIRED</v>
      </c>
      <c r="S116" s="140" t="str">
        <f t="shared" ca="1" si="2"/>
        <v>REQUIRED</v>
      </c>
    </row>
    <row r="117" spans="2:19" x14ac:dyDescent="0.25">
      <c r="D117" s="12" t="s">
        <v>450</v>
      </c>
      <c r="E117" s="61"/>
      <c r="F117" s="67" t="s">
        <v>10</v>
      </c>
      <c r="H117" s="118" t="s">
        <v>482</v>
      </c>
      <c r="I117" s="70" t="s">
        <v>519</v>
      </c>
      <c r="J117" s="63"/>
      <c r="K117" s="68">
        <v>0</v>
      </c>
      <c r="M117" s="57">
        <v>3000</v>
      </c>
      <c r="N117" s="58">
        <v>1250</v>
      </c>
      <c r="O117" s="59">
        <v>800</v>
      </c>
      <c r="Q117" s="98" t="str">
        <f ca="1">CalculateInvestment(Assesment!$D$50,$H117,$I117,$M117:$O117,$K117,Assesment!$D$28,$E117,$F117)</f>
        <v>REQUIRED</v>
      </c>
      <c r="S117" s="140" t="str">
        <f t="shared" ca="1" si="2"/>
        <v>REQUIRED</v>
      </c>
    </row>
    <row r="118" spans="2:19" x14ac:dyDescent="0.25">
      <c r="Q118" s="64"/>
      <c r="S118" s="140">
        <f t="shared" si="2"/>
        <v>0</v>
      </c>
    </row>
    <row r="119" spans="2:19" x14ac:dyDescent="0.25">
      <c r="B119" t="s">
        <v>1</v>
      </c>
      <c r="D119" s="12" t="s">
        <v>425</v>
      </c>
      <c r="E119" s="61"/>
      <c r="F119" s="67" t="s">
        <v>10</v>
      </c>
      <c r="H119" s="118" t="s">
        <v>482</v>
      </c>
      <c r="I119" s="70" t="s">
        <v>519</v>
      </c>
      <c r="J119" s="63"/>
      <c r="K119" s="68">
        <v>0</v>
      </c>
      <c r="M119" s="57">
        <v>3000</v>
      </c>
      <c r="N119" s="58">
        <v>2000</v>
      </c>
      <c r="O119" s="59">
        <v>1500</v>
      </c>
      <c r="Q119" s="98" t="str">
        <f ca="1">CalculateInvestment(Assesment!$D$50,$H119,$I119,$M119:$O119,$K119,Assesment!$D$28,$E119,$F119)</f>
        <v>REQUIRED</v>
      </c>
      <c r="S119" s="140" t="str">
        <f t="shared" ca="1" si="2"/>
        <v>REQUIRED</v>
      </c>
    </row>
    <row r="120" spans="2:19" x14ac:dyDescent="0.25">
      <c r="D120" s="12" t="s">
        <v>426</v>
      </c>
      <c r="E120" s="61"/>
      <c r="F120" s="67" t="s">
        <v>10</v>
      </c>
      <c r="H120" s="118" t="s">
        <v>482</v>
      </c>
      <c r="I120" s="70" t="s">
        <v>519</v>
      </c>
      <c r="J120" s="63"/>
      <c r="K120" s="68">
        <v>0</v>
      </c>
      <c r="M120" s="57">
        <v>2200</v>
      </c>
      <c r="N120" s="58">
        <v>1500</v>
      </c>
      <c r="O120" s="59">
        <v>1200</v>
      </c>
      <c r="Q120" s="98" t="str">
        <f ca="1">CalculateInvestment(Assesment!$D$50,$H120,$I120,$M120:$O120,$K120,Assesment!$D$28,$E120,$F120)</f>
        <v>REQUIRED</v>
      </c>
      <c r="S120" s="140" t="str">
        <f t="shared" ca="1" si="2"/>
        <v>REQUIRED</v>
      </c>
    </row>
    <row r="121" spans="2:19" x14ac:dyDescent="0.25">
      <c r="D121" s="12" t="s">
        <v>2</v>
      </c>
      <c r="E121" s="61"/>
      <c r="F121" s="67" t="s">
        <v>10</v>
      </c>
      <c r="H121" s="118" t="s">
        <v>482</v>
      </c>
      <c r="I121" s="70" t="s">
        <v>519</v>
      </c>
      <c r="J121" s="63"/>
      <c r="K121" s="68">
        <v>0</v>
      </c>
      <c r="M121" s="57">
        <v>4000</v>
      </c>
      <c r="N121" s="58">
        <v>2500</v>
      </c>
      <c r="O121" s="59">
        <v>1500</v>
      </c>
      <c r="Q121" s="98" t="str">
        <f ca="1">CalculateInvestment(Assesment!$D$50,$H121,$I121,$M121:$O121,$K121,Assesment!$D$28,$E121,$F121)</f>
        <v>REQUIRED</v>
      </c>
      <c r="S121" s="140" t="str">
        <f t="shared" ca="1" si="2"/>
        <v>REQUIRED</v>
      </c>
    </row>
    <row r="122" spans="2:19" x14ac:dyDescent="0.25">
      <c r="D122" s="12" t="s">
        <v>3</v>
      </c>
      <c r="E122" s="61"/>
      <c r="H122" s="118" t="s">
        <v>482</v>
      </c>
      <c r="I122" s="70" t="s">
        <v>519</v>
      </c>
      <c r="J122" s="63"/>
      <c r="K122" s="68">
        <v>0</v>
      </c>
      <c r="M122" s="57">
        <v>3000</v>
      </c>
      <c r="N122" s="58">
        <v>2000</v>
      </c>
      <c r="O122" s="59">
        <v>1500</v>
      </c>
      <c r="Q122" s="98">
        <f ca="1">CalculateInvestment(Assesment!$D$50,$H122,$I122,$M122:$O122,$K122,Assesment!$D$28,$E122,$F122)</f>
        <v>0</v>
      </c>
      <c r="S122" s="140">
        <f t="shared" ca="1" si="2"/>
        <v>0</v>
      </c>
    </row>
    <row r="123" spans="2:19" x14ac:dyDescent="0.25">
      <c r="D123" s="12" t="s">
        <v>428</v>
      </c>
      <c r="E123" s="61"/>
      <c r="F123" s="67" t="s">
        <v>10</v>
      </c>
      <c r="H123" s="118" t="s">
        <v>482</v>
      </c>
      <c r="I123" s="70" t="s">
        <v>519</v>
      </c>
      <c r="J123" s="63"/>
      <c r="K123" s="68">
        <v>0</v>
      </c>
      <c r="M123" s="57">
        <v>600</v>
      </c>
      <c r="N123" s="58">
        <v>300</v>
      </c>
      <c r="O123" s="59">
        <v>200</v>
      </c>
      <c r="Q123" s="98" t="str">
        <f ca="1">CalculateInvestment(Assesment!$D$50,$H123,$I123,$M123:$O123,$K123,Assesment!$D$28,$E123,$F123)</f>
        <v>REQUIRED</v>
      </c>
      <c r="S123" s="140" t="str">
        <f t="shared" ca="1" si="2"/>
        <v>REQUIRED</v>
      </c>
    </row>
    <row r="124" spans="2:19" x14ac:dyDescent="0.25">
      <c r="D124" s="12" t="s">
        <v>427</v>
      </c>
      <c r="E124" s="61"/>
      <c r="F124" s="67" t="s">
        <v>10</v>
      </c>
      <c r="H124" s="118" t="s">
        <v>482</v>
      </c>
      <c r="I124" s="70" t="s">
        <v>519</v>
      </c>
      <c r="J124" s="63"/>
      <c r="K124" s="68">
        <v>0</v>
      </c>
      <c r="M124" s="57">
        <v>0</v>
      </c>
      <c r="N124" s="58">
        <v>0</v>
      </c>
      <c r="O124" s="59">
        <v>0</v>
      </c>
      <c r="Q124" s="98" t="str">
        <f ca="1">CalculateInvestment(Assesment!$D$50,$H124,$I124,$M124:$O124,$K124,Assesment!$D$28,$E124,$F124)</f>
        <v>REQUIRED</v>
      </c>
      <c r="S124" s="140" t="str">
        <f t="shared" ca="1" si="2"/>
        <v>REQUIRED</v>
      </c>
    </row>
    <row r="125" spans="2:19" x14ac:dyDescent="0.25">
      <c r="D125" s="12" t="s">
        <v>7</v>
      </c>
      <c r="E125" s="61"/>
      <c r="H125" s="118" t="s">
        <v>482</v>
      </c>
      <c r="I125" s="70" t="s">
        <v>519</v>
      </c>
      <c r="J125" s="63"/>
      <c r="K125" s="68">
        <v>0</v>
      </c>
      <c r="M125" s="57">
        <v>700</v>
      </c>
      <c r="N125" s="58">
        <v>500</v>
      </c>
      <c r="O125" s="59">
        <v>400</v>
      </c>
      <c r="Q125" s="98">
        <f ca="1">CalculateInvestment(Assesment!$D$50,$H125,$I125,$M125:$O125,$K125,Assesment!$D$28,$E125,$F125)</f>
        <v>0</v>
      </c>
      <c r="S125" s="140">
        <f t="shared" ca="1" si="2"/>
        <v>0</v>
      </c>
    </row>
    <row r="126" spans="2:19" x14ac:dyDescent="0.25">
      <c r="Q126" s="64"/>
      <c r="S126" s="140">
        <f t="shared" si="2"/>
        <v>0</v>
      </c>
    </row>
    <row r="127" spans="2:19" x14ac:dyDescent="0.25">
      <c r="B127" t="s">
        <v>455</v>
      </c>
      <c r="D127" s="12" t="s">
        <v>605</v>
      </c>
      <c r="E127" s="61"/>
      <c r="F127" s="67" t="s">
        <v>10</v>
      </c>
      <c r="H127" s="118" t="s">
        <v>482</v>
      </c>
      <c r="I127" s="70" t="s">
        <v>519</v>
      </c>
      <c r="J127" s="63"/>
      <c r="K127" s="68">
        <v>0</v>
      </c>
      <c r="M127" s="57">
        <v>2000</v>
      </c>
      <c r="N127" s="58">
        <v>1500</v>
      </c>
      <c r="O127" s="59">
        <v>1000</v>
      </c>
      <c r="Q127" s="98" t="str">
        <f ca="1">CalculateInvestment(Assesment!$D$50,$H127,$I127,$M127:$O127,$K127,Assesment!$D$28,$E127,$F127)</f>
        <v>REQUIRED</v>
      </c>
      <c r="S127" s="140" t="str">
        <f t="shared" ca="1" si="2"/>
        <v>REQUIRED</v>
      </c>
    </row>
    <row r="128" spans="2:19" x14ac:dyDescent="0.25">
      <c r="D128" s="12" t="s">
        <v>604</v>
      </c>
      <c r="E128" s="61"/>
      <c r="H128" s="118" t="s">
        <v>482</v>
      </c>
      <c r="I128" s="70" t="s">
        <v>519</v>
      </c>
      <c r="J128" s="63"/>
      <c r="K128" s="68">
        <v>0</v>
      </c>
      <c r="M128" s="57">
        <v>4000</v>
      </c>
      <c r="N128" s="58">
        <v>3000</v>
      </c>
      <c r="O128" s="59">
        <v>2000</v>
      </c>
      <c r="Q128" s="98">
        <f ca="1">CalculateInvestment(Assesment!$D$50,$H128,$I128,$M128:$O128,$K128,Assesment!$D$28,$E128,$F128)</f>
        <v>0</v>
      </c>
      <c r="S128" s="140">
        <f t="shared" ca="1" si="2"/>
        <v>0</v>
      </c>
    </row>
    <row r="129" spans="2:19" x14ac:dyDescent="0.25">
      <c r="D129" s="12" t="s">
        <v>606</v>
      </c>
      <c r="E129" s="61"/>
      <c r="F129" s="67" t="s">
        <v>10</v>
      </c>
      <c r="H129" s="118" t="s">
        <v>482</v>
      </c>
      <c r="I129" s="70" t="s">
        <v>519</v>
      </c>
      <c r="J129" s="63"/>
      <c r="K129" s="68">
        <v>0</v>
      </c>
      <c r="M129" s="57">
        <v>2500</v>
      </c>
      <c r="N129" s="58">
        <v>1500</v>
      </c>
      <c r="O129" s="59">
        <v>1000</v>
      </c>
      <c r="Q129" s="98" t="str">
        <f ca="1">CalculateInvestment(Assesment!$D$50,$H129,$I129,$M129:$O129,$K129,Assesment!$D$28,$E129,$F129)</f>
        <v>REQUIRED</v>
      </c>
      <c r="S129" s="140" t="str">
        <f t="shared" ca="1" si="2"/>
        <v>REQUIRED</v>
      </c>
    </row>
    <row r="130" spans="2:19" x14ac:dyDescent="0.25">
      <c r="D130" s="12" t="s">
        <v>428</v>
      </c>
      <c r="E130" s="61"/>
      <c r="F130" s="67" t="s">
        <v>10</v>
      </c>
      <c r="H130" s="118" t="s">
        <v>482</v>
      </c>
      <c r="I130" s="70" t="s">
        <v>519</v>
      </c>
      <c r="J130" s="63"/>
      <c r="K130" s="68">
        <v>0</v>
      </c>
      <c r="M130" s="57">
        <v>1200</v>
      </c>
      <c r="N130" s="58">
        <v>700</v>
      </c>
      <c r="O130" s="59">
        <v>400</v>
      </c>
      <c r="Q130" s="98" t="str">
        <f ca="1">CalculateInvestment(Assesment!$D$50,$H130,$I130,$M130:$O130,$K130,Assesment!$D$28,$E130,$F130)</f>
        <v>REQUIRED</v>
      </c>
      <c r="S130" s="140" t="str">
        <f t="shared" ca="1" si="2"/>
        <v>REQUIRED</v>
      </c>
    </row>
    <row r="131" spans="2:19" x14ac:dyDescent="0.25">
      <c r="Q131" s="64"/>
      <c r="S131" s="140">
        <f t="shared" si="2"/>
        <v>0</v>
      </c>
    </row>
    <row r="132" spans="2:19" x14ac:dyDescent="0.25">
      <c r="B132" t="s">
        <v>460</v>
      </c>
      <c r="D132" s="12" t="s">
        <v>461</v>
      </c>
      <c r="E132" s="61"/>
      <c r="F132" s="67" t="s">
        <v>10</v>
      </c>
      <c r="H132" s="118" t="s">
        <v>482</v>
      </c>
      <c r="I132" s="70" t="s">
        <v>519</v>
      </c>
      <c r="J132" s="63"/>
      <c r="K132" s="68">
        <v>0</v>
      </c>
      <c r="M132" s="57">
        <v>1000</v>
      </c>
      <c r="N132" s="58">
        <v>600</v>
      </c>
      <c r="O132" s="59">
        <v>400</v>
      </c>
      <c r="Q132" s="98" t="str">
        <f ca="1">CalculateInvestment(Assesment!$D$50,$H132,$I132,$M132:$O132,$K132,Assesment!$D$28,$E132,$F132)</f>
        <v>REQUIRED</v>
      </c>
      <c r="S132" s="140" t="str">
        <f t="shared" ca="1" si="2"/>
        <v>REQUIRED</v>
      </c>
    </row>
    <row r="133" spans="2:19" x14ac:dyDescent="0.25">
      <c r="D133" s="12" t="s">
        <v>462</v>
      </c>
      <c r="E133" s="61"/>
      <c r="F133" s="67" t="s">
        <v>10</v>
      </c>
      <c r="H133" s="118" t="s">
        <v>484</v>
      </c>
      <c r="I133" s="70" t="s">
        <v>519</v>
      </c>
      <c r="J133" s="63" t="s">
        <v>707</v>
      </c>
      <c r="K133" s="68">
        <v>1000</v>
      </c>
      <c r="M133" s="57">
        <v>5000</v>
      </c>
      <c r="N133" s="58">
        <v>4000</v>
      </c>
      <c r="O133" s="59">
        <v>2500</v>
      </c>
      <c r="Q133" s="98">
        <f ca="1">CalculateInvestment(Assesment!$D$50,$H133,$I133,$M133:$O133,$K133,Assesment!$D$28,$E133,$F133)</f>
        <v>1000</v>
      </c>
      <c r="S133" s="140">
        <f t="shared" ca="1" si="2"/>
        <v>1000</v>
      </c>
    </row>
    <row r="134" spans="2:19" x14ac:dyDescent="0.25">
      <c r="D134" s="12" t="s">
        <v>463</v>
      </c>
      <c r="E134" s="61"/>
      <c r="F134" s="67" t="s">
        <v>10</v>
      </c>
      <c r="H134" s="118" t="s">
        <v>482</v>
      </c>
      <c r="I134" s="70" t="s">
        <v>519</v>
      </c>
      <c r="J134" s="63"/>
      <c r="K134" s="68">
        <v>0</v>
      </c>
      <c r="M134" s="57">
        <v>400</v>
      </c>
      <c r="N134" s="58">
        <v>300</v>
      </c>
      <c r="O134" s="59">
        <v>200</v>
      </c>
      <c r="Q134" s="98" t="str">
        <f ca="1">CalculateInvestment(Assesment!$D$50,$H134,$I134,$M134:$O134,$K134,Assesment!$D$28,$E134,$F134)</f>
        <v>REQUIRED</v>
      </c>
      <c r="S134" s="140" t="str">
        <f t="shared" ca="1" si="2"/>
        <v>REQUIRED</v>
      </c>
    </row>
    <row r="135" spans="2:19" x14ac:dyDescent="0.25">
      <c r="D135" s="12" t="s">
        <v>464</v>
      </c>
      <c r="E135" s="61"/>
      <c r="F135" s="67" t="s">
        <v>10</v>
      </c>
      <c r="H135" s="118" t="s">
        <v>482</v>
      </c>
      <c r="I135" s="70" t="s">
        <v>519</v>
      </c>
      <c r="J135" s="63"/>
      <c r="K135" s="68">
        <v>0</v>
      </c>
      <c r="M135" s="57">
        <v>1200</v>
      </c>
      <c r="N135" s="58">
        <v>800</v>
      </c>
      <c r="O135" s="59">
        <v>600</v>
      </c>
      <c r="Q135" s="98" t="str">
        <f ca="1">CalculateInvestment(Assesment!$D$50,$H135,$I135,$M135:$O135,$K135,Assesment!$D$28,$E135,$F135)</f>
        <v>REQUIRED</v>
      </c>
      <c r="S135" s="140" t="str">
        <f t="shared" ca="1" si="2"/>
        <v>REQUIRED</v>
      </c>
    </row>
    <row r="136" spans="2:19" x14ac:dyDescent="0.25">
      <c r="D136" s="12" t="s">
        <v>465</v>
      </c>
      <c r="E136" s="61"/>
      <c r="F136" s="67" t="s">
        <v>10</v>
      </c>
      <c r="H136" s="118" t="s">
        <v>482</v>
      </c>
      <c r="I136" s="70" t="s">
        <v>519</v>
      </c>
      <c r="J136" s="63"/>
      <c r="K136" s="68">
        <v>0</v>
      </c>
      <c r="M136" s="57">
        <v>1000</v>
      </c>
      <c r="N136" s="58">
        <v>700</v>
      </c>
      <c r="O136" s="59">
        <v>500</v>
      </c>
      <c r="Q136" s="98" t="str">
        <f ca="1">CalculateInvestment(Assesment!$D$50,$H136,$I136,$M136:$O136,$K136,Assesment!$D$28,$E136,$F136)</f>
        <v>REQUIRED</v>
      </c>
      <c r="S136" s="140" t="str">
        <f t="shared" ca="1" si="2"/>
        <v>REQUIRED</v>
      </c>
    </row>
    <row r="137" spans="2:19" x14ac:dyDescent="0.25">
      <c r="D137" s="12" t="s">
        <v>466</v>
      </c>
      <c r="E137" s="61"/>
      <c r="F137" s="67" t="s">
        <v>10</v>
      </c>
      <c r="H137" s="118" t="s">
        <v>482</v>
      </c>
      <c r="I137" s="70" t="s">
        <v>519</v>
      </c>
      <c r="J137" s="63"/>
      <c r="K137" s="68">
        <v>0</v>
      </c>
      <c r="M137" s="57">
        <v>200</v>
      </c>
      <c r="N137" s="58">
        <v>150</v>
      </c>
      <c r="O137" s="59">
        <v>100</v>
      </c>
      <c r="Q137" s="98" t="str">
        <f ca="1">CalculateInvestment(Assesment!$D$50,$H137,$I137,$M137:$O137,$K137,Assesment!$D$28,$E137,$F137)</f>
        <v>REQUIRED</v>
      </c>
      <c r="S137" s="140" t="str">
        <f t="shared" ca="1" si="2"/>
        <v>REQUIRED</v>
      </c>
    </row>
    <row r="138" spans="2:19" x14ac:dyDescent="0.25">
      <c r="D138" s="12" t="s">
        <v>490</v>
      </c>
      <c r="E138" s="61"/>
      <c r="F138" s="67" t="s">
        <v>10</v>
      </c>
      <c r="H138" s="118" t="s">
        <v>482</v>
      </c>
      <c r="I138" s="70" t="s">
        <v>519</v>
      </c>
      <c r="J138" s="63"/>
      <c r="K138" s="68">
        <v>0</v>
      </c>
      <c r="M138" s="57">
        <v>500</v>
      </c>
      <c r="N138" s="58">
        <v>300</v>
      </c>
      <c r="O138" s="59">
        <v>200</v>
      </c>
      <c r="Q138" s="98" t="str">
        <f ca="1">CalculateInvestment(Assesment!$D$50,$H138,$I138,$M138:$O138,$K138,Assesment!$D$28,$E138,$F138)</f>
        <v>REQUIRED</v>
      </c>
      <c r="S138" s="140" t="str">
        <f t="shared" ca="1" si="2"/>
        <v>REQUIRED</v>
      </c>
    </row>
    <row r="139" spans="2:19" x14ac:dyDescent="0.25">
      <c r="D139" s="12" t="s">
        <v>491</v>
      </c>
      <c r="E139" s="61"/>
      <c r="F139" s="67" t="s">
        <v>10</v>
      </c>
      <c r="H139" s="118" t="s">
        <v>482</v>
      </c>
      <c r="I139" s="70" t="s">
        <v>519</v>
      </c>
      <c r="J139" s="63"/>
      <c r="K139" s="68">
        <v>0</v>
      </c>
      <c r="M139" s="57">
        <v>500</v>
      </c>
      <c r="N139" s="58">
        <v>300</v>
      </c>
      <c r="O139" s="59">
        <v>200</v>
      </c>
      <c r="Q139" s="98" t="str">
        <f ca="1">CalculateInvestment(Assesment!$D$50,$H139,$I139,$M139:$O139,$K139,Assesment!$D$28,$E139,$F139)</f>
        <v>REQUIRED</v>
      </c>
      <c r="S139" s="140" t="str">
        <f t="shared" ca="1" si="2"/>
        <v>REQUIRED</v>
      </c>
    </row>
    <row r="140" spans="2:19" x14ac:dyDescent="0.25">
      <c r="D140" s="12" t="s">
        <v>492</v>
      </c>
      <c r="E140" s="61"/>
      <c r="F140" s="67" t="s">
        <v>10</v>
      </c>
      <c r="H140" s="118" t="s">
        <v>482</v>
      </c>
      <c r="I140" s="70" t="s">
        <v>519</v>
      </c>
      <c r="J140" s="63"/>
      <c r="K140" s="68">
        <v>0</v>
      </c>
      <c r="M140" s="57">
        <v>300</v>
      </c>
      <c r="N140" s="58">
        <v>200</v>
      </c>
      <c r="O140" s="59">
        <v>150</v>
      </c>
      <c r="Q140" s="98" t="str">
        <f ca="1">CalculateInvestment(Assesment!$D$50,$H140,$I140,$M140:$O140,$K140,Assesment!$D$28,$E140,$F140)</f>
        <v>REQUIRED</v>
      </c>
      <c r="S140" s="140" t="str">
        <f t="shared" ca="1" si="2"/>
        <v>REQUIRED</v>
      </c>
    </row>
    <row r="141" spans="2:19" x14ac:dyDescent="0.25">
      <c r="D141" s="12" t="s">
        <v>493</v>
      </c>
      <c r="E141" s="61"/>
      <c r="H141" s="118" t="s">
        <v>482</v>
      </c>
      <c r="I141" s="70" t="s">
        <v>519</v>
      </c>
      <c r="J141" s="63"/>
      <c r="K141" s="68">
        <v>0</v>
      </c>
      <c r="M141" s="57">
        <v>250</v>
      </c>
      <c r="N141" s="58">
        <v>200</v>
      </c>
      <c r="O141" s="59">
        <v>150</v>
      </c>
      <c r="Q141" s="98">
        <f ca="1">CalculateInvestment(Assesment!$D$50,$H141,$I141,$M141:$O141,$K141,Assesment!$D$28,$E141,$F141)</f>
        <v>0</v>
      </c>
      <c r="S141" s="140">
        <f t="shared" ca="1" si="2"/>
        <v>0</v>
      </c>
    </row>
    <row r="142" spans="2:19" x14ac:dyDescent="0.25">
      <c r="D142" s="12" t="s">
        <v>494</v>
      </c>
      <c r="E142" s="61"/>
      <c r="H142" s="118" t="s">
        <v>482</v>
      </c>
      <c r="I142" s="70" t="s">
        <v>519</v>
      </c>
      <c r="J142" s="63"/>
      <c r="K142" s="68">
        <v>0</v>
      </c>
      <c r="M142" s="57">
        <v>1500</v>
      </c>
      <c r="N142" s="58">
        <v>1000</v>
      </c>
      <c r="O142" s="59">
        <v>800</v>
      </c>
      <c r="Q142" s="98">
        <f ca="1">CalculateInvestment(Assesment!$D$50,$H142,$I142,$M142:$O142,$K142,Assesment!$D$28,$E142,$F142)</f>
        <v>0</v>
      </c>
      <c r="S142" s="140">
        <f t="shared" ca="1" si="2"/>
        <v>0</v>
      </c>
    </row>
    <row r="143" spans="2:19" x14ac:dyDescent="0.25">
      <c r="D143" s="12" t="s">
        <v>495</v>
      </c>
      <c r="E143" s="61"/>
      <c r="F143" s="67" t="s">
        <v>10</v>
      </c>
      <c r="H143" s="118" t="s">
        <v>482</v>
      </c>
      <c r="I143" s="70" t="s">
        <v>519</v>
      </c>
      <c r="J143" s="63"/>
      <c r="K143" s="68">
        <v>0</v>
      </c>
      <c r="M143" s="57">
        <v>400</v>
      </c>
      <c r="N143" s="58">
        <v>250</v>
      </c>
      <c r="O143" s="59">
        <v>200</v>
      </c>
      <c r="Q143" s="98" t="str">
        <f ca="1">CalculateInvestment(Assesment!$D$50,$H143,$I143,$M143:$O143,$K143,Assesment!$D$28,$E143,$F143)</f>
        <v>REQUIRED</v>
      </c>
      <c r="S143" s="140" t="str">
        <f t="shared" ca="1" si="2"/>
        <v>REQUIRED</v>
      </c>
    </row>
    <row r="144" spans="2:19" x14ac:dyDescent="0.25">
      <c r="Q144" s="64"/>
      <c r="S144" s="140">
        <f t="shared" si="2"/>
        <v>0</v>
      </c>
    </row>
    <row r="145" spans="2:19" x14ac:dyDescent="0.25">
      <c r="B145" t="s">
        <v>467</v>
      </c>
      <c r="D145" s="12" t="s">
        <v>567</v>
      </c>
      <c r="E145" s="62"/>
      <c r="F145" s="67" t="s">
        <v>10</v>
      </c>
      <c r="H145" s="118" t="s">
        <v>639</v>
      </c>
      <c r="I145" s="70" t="s">
        <v>519</v>
      </c>
      <c r="J145" s="63"/>
      <c r="K145" s="68">
        <v>1500</v>
      </c>
      <c r="M145" s="57">
        <v>5700</v>
      </c>
      <c r="N145" s="58">
        <v>3600</v>
      </c>
      <c r="O145" s="59">
        <v>1900</v>
      </c>
      <c r="Q145" s="98">
        <f ca="1">CalculateInvestment(Assesment!$D$50,$H145,$I145,$M145:$O145,$K145,Assesment!$D$28,$E145,$F145)</f>
        <v>1500</v>
      </c>
      <c r="S145" s="140">
        <f t="shared" ca="1" si="2"/>
        <v>1500</v>
      </c>
    </row>
    <row r="146" spans="2:19" x14ac:dyDescent="0.25">
      <c r="D146" s="12" t="s">
        <v>568</v>
      </c>
      <c r="E146" s="62"/>
      <c r="F146" s="67" t="s">
        <v>10</v>
      </c>
      <c r="H146" s="118" t="s">
        <v>639</v>
      </c>
      <c r="I146" s="70" t="s">
        <v>519</v>
      </c>
      <c r="J146" s="63"/>
      <c r="K146" s="68">
        <v>1000</v>
      </c>
      <c r="M146" s="57">
        <v>2300</v>
      </c>
      <c r="N146" s="58">
        <v>1500</v>
      </c>
      <c r="O146" s="59">
        <v>1300</v>
      </c>
      <c r="Q146" s="98">
        <f ca="1">CalculateInvestment(Assesment!$D$50,$H146,$I146,$M146:$O146,$K146,Assesment!$D$28,$E146,$F146)</f>
        <v>1000</v>
      </c>
      <c r="S146" s="140">
        <f t="shared" ca="1" si="2"/>
        <v>1000</v>
      </c>
    </row>
    <row r="147" spans="2:19" x14ac:dyDescent="0.25">
      <c r="D147" s="12" t="s">
        <v>618</v>
      </c>
      <c r="E147" s="61"/>
      <c r="H147" s="118" t="s">
        <v>482</v>
      </c>
      <c r="I147" s="70" t="s">
        <v>519</v>
      </c>
      <c r="J147" s="63"/>
      <c r="K147" s="68">
        <v>0</v>
      </c>
      <c r="M147" s="57">
        <v>1500</v>
      </c>
      <c r="N147" s="58">
        <v>800</v>
      </c>
      <c r="O147" s="59">
        <v>700</v>
      </c>
      <c r="Q147" s="98">
        <f ca="1">CalculateInvestment(Assesment!$D$50,$H147,$I147,$M147:$O147,$K147,Assesment!$D$28,$E147,$F147)</f>
        <v>0</v>
      </c>
      <c r="S147" s="140">
        <f t="shared" ca="1" si="2"/>
        <v>0</v>
      </c>
    </row>
    <row r="148" spans="2:19" x14ac:dyDescent="0.25">
      <c r="Q148" s="64"/>
    </row>
    <row r="149" spans="2:19" ht="15.75" thickBot="1" x14ac:dyDescent="0.3">
      <c r="M149" s="85">
        <f>SUM(M15:M148)</f>
        <v>370345</v>
      </c>
      <c r="N149" s="85">
        <f>SUM(N15:N148)</f>
        <v>232740</v>
      </c>
      <c r="O149" s="85">
        <f>SUM(O15:O148)</f>
        <v>153550</v>
      </c>
      <c r="Q149" s="100">
        <f ca="1">SUM(Q15:Q148)</f>
        <v>15730</v>
      </c>
    </row>
    <row r="150" spans="2:19" ht="15.75" thickTop="1" x14ac:dyDescent="0.25">
      <c r="J150"/>
    </row>
    <row r="151" spans="2:19" x14ac:dyDescent="0.25">
      <c r="J151"/>
      <c r="Q151" s="9"/>
    </row>
    <row r="158" spans="2:19" x14ac:dyDescent="0.25">
      <c r="D158" s="13"/>
      <c r="J158"/>
      <c r="M158"/>
      <c r="N158"/>
      <c r="O158"/>
    </row>
    <row r="159" spans="2:19" x14ac:dyDescent="0.25">
      <c r="D159" s="13"/>
      <c r="J159"/>
      <c r="M159"/>
      <c r="N159"/>
      <c r="O159"/>
    </row>
    <row r="160" spans="2:19" x14ac:dyDescent="0.25">
      <c r="D160" s="13"/>
      <c r="J160"/>
      <c r="M160"/>
      <c r="N160"/>
      <c r="O160"/>
    </row>
    <row r="161" spans="5:15" x14ac:dyDescent="0.25">
      <c r="J161"/>
      <c r="M161"/>
      <c r="N161"/>
      <c r="O161"/>
    </row>
    <row r="162" spans="5:15" x14ac:dyDescent="0.25">
      <c r="J162"/>
      <c r="M162"/>
      <c r="N162"/>
      <c r="O162"/>
    </row>
    <row r="163" spans="5:15" x14ac:dyDescent="0.25">
      <c r="J163"/>
      <c r="M163"/>
      <c r="N163"/>
      <c r="O163"/>
    </row>
    <row r="164" spans="5:15" x14ac:dyDescent="0.25">
      <c r="J164"/>
      <c r="M164"/>
      <c r="N164"/>
      <c r="O164"/>
    </row>
    <row r="165" spans="5:15" x14ac:dyDescent="0.25">
      <c r="J165"/>
      <c r="M165"/>
      <c r="N165"/>
      <c r="O165"/>
    </row>
    <row r="166" spans="5:15" x14ac:dyDescent="0.25">
      <c r="E166"/>
      <c r="F166"/>
      <c r="J166"/>
      <c r="K166"/>
      <c r="M166"/>
      <c r="N166"/>
      <c r="O166"/>
    </row>
    <row r="167" spans="5:15" x14ac:dyDescent="0.25">
      <c r="E167"/>
      <c r="F167"/>
      <c r="J167"/>
      <c r="K167"/>
      <c r="M167"/>
      <c r="N167"/>
      <c r="O167"/>
    </row>
    <row r="168" spans="5:15" x14ac:dyDescent="0.25">
      <c r="E168"/>
      <c r="F168"/>
      <c r="J168"/>
      <c r="K168"/>
      <c r="M168"/>
      <c r="N168"/>
      <c r="O168"/>
    </row>
    <row r="169" spans="5:15" x14ac:dyDescent="0.25">
      <c r="E169"/>
      <c r="F169"/>
      <c r="J169"/>
      <c r="K169"/>
      <c r="M169"/>
      <c r="N169"/>
      <c r="O169"/>
    </row>
    <row r="170" spans="5:15" x14ac:dyDescent="0.25">
      <c r="E170"/>
      <c r="F170"/>
      <c r="J170"/>
      <c r="K170"/>
      <c r="M170"/>
      <c r="N170"/>
      <c r="O170"/>
    </row>
    <row r="171" spans="5:15" x14ac:dyDescent="0.25">
      <c r="E171"/>
      <c r="F171"/>
      <c r="J171"/>
      <c r="K171"/>
      <c r="M171"/>
      <c r="N171"/>
      <c r="O171"/>
    </row>
    <row r="172" spans="5:15" x14ac:dyDescent="0.25">
      <c r="E172"/>
      <c r="F172"/>
      <c r="J172"/>
      <c r="K172"/>
      <c r="M172"/>
      <c r="N172"/>
      <c r="O172"/>
    </row>
  </sheetData>
  <conditionalFormatting sqref="Q48:Q51 Q15:Q36 Q104:Q107">
    <cfRule type="cellIs" dxfId="341" priority="670" operator="equal">
      <formula>"REQUIRED"</formula>
    </cfRule>
  </conditionalFormatting>
  <conditionalFormatting sqref="H149">
    <cfRule type="cellIs" dxfId="340" priority="494" operator="equal">
      <formula>"Unknown"</formula>
    </cfRule>
    <cfRule type="cellIs" dxfId="339" priority="647" operator="equal">
      <formula>"Good"</formula>
    </cfRule>
    <cfRule type="cellIs" dxfId="338" priority="677" operator="equal">
      <formula>"Repair"</formula>
    </cfRule>
    <cfRule type="cellIs" dxfId="337" priority="685" operator="equal">
      <formula>"Replace"</formula>
    </cfRule>
    <cfRule type="cellIs" dxfId="336" priority="686" operator="equal">
      <formula>"Improve"</formula>
    </cfRule>
    <cfRule type="cellIs" dxfId="335" priority="687" operator="equal">
      <formula>"Missing"</formula>
    </cfRule>
    <cfRule type="cellIs" dxfId="334" priority="688" operator="equal">
      <formula>"Dispose"</formula>
    </cfRule>
    <cfRule type="cellIs" dxfId="333" priority="689" operator="equal">
      <formula>"Ignore"</formula>
    </cfRule>
  </conditionalFormatting>
  <conditionalFormatting sqref="H1:H11 H15:H1048576">
    <cfRule type="cellIs" dxfId="332" priority="245" operator="equal">
      <formula>"Unknown"</formula>
    </cfRule>
    <cfRule type="cellIs" dxfId="331" priority="448" operator="equal">
      <formula>"Good"</formula>
    </cfRule>
    <cfRule type="cellIs" dxfId="330" priority="449" operator="equal">
      <formula>"Repair"</formula>
    </cfRule>
    <cfRule type="cellIs" dxfId="329" priority="450" operator="equal">
      <formula>"Replace"</formula>
    </cfRule>
    <cfRule type="cellIs" dxfId="328" priority="451" operator="equal">
      <formula>"Improve"</formula>
    </cfRule>
    <cfRule type="cellIs" dxfId="327" priority="452" operator="equal">
      <formula>"Install"</formula>
    </cfRule>
    <cfRule type="cellIs" dxfId="326" priority="453" operator="equal">
      <formula>"Missing"</formula>
    </cfRule>
    <cfRule type="cellIs" dxfId="325" priority="454" operator="equal">
      <formula>"Dispose"</formula>
    </cfRule>
    <cfRule type="cellIs" dxfId="324" priority="455" operator="equal">
      <formula>"Ignore"</formula>
    </cfRule>
  </conditionalFormatting>
  <conditionalFormatting sqref="Q24:Q36 Q38:Q46">
    <cfRule type="cellIs" dxfId="323" priority="263" operator="equal">
      <formula>"REQUIRED"</formula>
    </cfRule>
  </conditionalFormatting>
  <conditionalFormatting sqref="Q53:Q56">
    <cfRule type="cellIs" dxfId="322" priority="262" operator="equal">
      <formula>"REQUIRED"</formula>
    </cfRule>
  </conditionalFormatting>
  <conditionalFormatting sqref="Q58:Q66">
    <cfRule type="cellIs" dxfId="321" priority="261" operator="equal">
      <formula>"REQUIRED"</formula>
    </cfRule>
  </conditionalFormatting>
  <conditionalFormatting sqref="Q68">
    <cfRule type="cellIs" dxfId="320" priority="260" operator="equal">
      <formula>"REQUIRED"</formula>
    </cfRule>
  </conditionalFormatting>
  <conditionalFormatting sqref="Q76:Q79">
    <cfRule type="cellIs" dxfId="319" priority="259" operator="equal">
      <formula>"REQUIRED"</formula>
    </cfRule>
  </conditionalFormatting>
  <conditionalFormatting sqref="Q70:Q74">
    <cfRule type="cellIs" dxfId="318" priority="258" operator="equal">
      <formula>"REQUIRED"</formula>
    </cfRule>
  </conditionalFormatting>
  <conditionalFormatting sqref="Q81:Q82">
    <cfRule type="cellIs" dxfId="317" priority="257" operator="equal">
      <formula>"REQUIRED"</formula>
    </cfRule>
  </conditionalFormatting>
  <conditionalFormatting sqref="Q84:Q88">
    <cfRule type="cellIs" dxfId="316" priority="256" operator="equal">
      <formula>"REQUIRED"</formula>
    </cfRule>
  </conditionalFormatting>
  <conditionalFormatting sqref="Q90:Q93">
    <cfRule type="cellIs" dxfId="315" priority="255" operator="equal">
      <formula>"REQUIRED"</formula>
    </cfRule>
  </conditionalFormatting>
  <conditionalFormatting sqref="Q95:Q102">
    <cfRule type="cellIs" dxfId="314" priority="254" operator="equal">
      <formula>"REQUIRED"</formula>
    </cfRule>
  </conditionalFormatting>
  <conditionalFormatting sqref="Q109:Q112">
    <cfRule type="cellIs" dxfId="313" priority="253" operator="equal">
      <formula>"REQUIRED"</formula>
    </cfRule>
  </conditionalFormatting>
  <conditionalFormatting sqref="Q114:Q117">
    <cfRule type="cellIs" dxfId="312" priority="252" operator="equal">
      <formula>"REQUIRED"</formula>
    </cfRule>
  </conditionalFormatting>
  <conditionalFormatting sqref="Q119:Q125">
    <cfRule type="cellIs" dxfId="311" priority="251" operator="equal">
      <formula>"REQUIRED"</formula>
    </cfRule>
  </conditionalFormatting>
  <conditionalFormatting sqref="Q127:Q130">
    <cfRule type="cellIs" dxfId="310" priority="250" operator="equal">
      <formula>"REQUIRED"</formula>
    </cfRule>
  </conditionalFormatting>
  <conditionalFormatting sqref="Q132:Q143">
    <cfRule type="cellIs" dxfId="309" priority="249" operator="equal">
      <formula>"REQUIRED"</formula>
    </cfRule>
  </conditionalFormatting>
  <conditionalFormatting sqref="Q145:Q147">
    <cfRule type="cellIs" dxfId="308" priority="248" operator="equal">
      <formula>"REQUIRED"</formula>
    </cfRule>
  </conditionalFormatting>
  <conditionalFormatting sqref="H1:H11 H15:H1048576">
    <cfRule type="containsBlanks" priority="109">
      <formula>LEN(TRIM(H1))=0</formula>
    </cfRule>
  </conditionalFormatting>
  <conditionalFormatting sqref="H1:H11 H15:H1048576">
    <cfRule type="cellIs" dxfId="307" priority="88" operator="equal">
      <formula>"N/A"</formula>
    </cfRule>
  </conditionalFormatting>
  <conditionalFormatting sqref="H2:H11">
    <cfRule type="cellIs" dxfId="306" priority="79" operator="equal">
      <formula>"Unknown"</formula>
    </cfRule>
    <cfRule type="cellIs" dxfId="305" priority="80" operator="equal">
      <formula>"Good"</formula>
    </cfRule>
    <cfRule type="cellIs" dxfId="304" priority="81" operator="equal">
      <formula>"Repair"</formula>
    </cfRule>
    <cfRule type="cellIs" dxfId="303" priority="82" operator="equal">
      <formula>"Replace"</formula>
    </cfRule>
    <cfRule type="cellIs" dxfId="302" priority="83" operator="equal">
      <formula>"Improve"</formula>
    </cfRule>
    <cfRule type="cellIs" dxfId="301" priority="84" operator="equal">
      <formula>"Install"</formula>
    </cfRule>
    <cfRule type="cellIs" dxfId="300" priority="85" operator="equal">
      <formula>"Missing"</formula>
    </cfRule>
    <cfRule type="cellIs" dxfId="299" priority="86" operator="equal">
      <formula>"Dispose"</formula>
    </cfRule>
    <cfRule type="cellIs" dxfId="298" priority="87" operator="equal">
      <formula>"Ignore"</formula>
    </cfRule>
  </conditionalFormatting>
  <conditionalFormatting sqref="H2:H11">
    <cfRule type="containsBlanks" priority="78">
      <formula>LEN(TRIM(H2))=0</formula>
    </cfRule>
  </conditionalFormatting>
  <conditionalFormatting sqref="H2:H11">
    <cfRule type="cellIs" dxfId="297" priority="77" operator="equal">
      <formula>"N/A"</formula>
    </cfRule>
  </conditionalFormatting>
  <conditionalFormatting sqref="H24:H36">
    <cfRule type="cellIs" dxfId="296" priority="76" operator="equal">
      <formula>"N/A"</formula>
    </cfRule>
  </conditionalFormatting>
  <conditionalFormatting sqref="H38:H46">
    <cfRule type="cellIs" dxfId="295" priority="75" operator="equal">
      <formula>"N/A"</formula>
    </cfRule>
  </conditionalFormatting>
  <conditionalFormatting sqref="H48:H51">
    <cfRule type="cellIs" dxfId="294" priority="74" operator="equal">
      <formula>"N/A"</formula>
    </cfRule>
  </conditionalFormatting>
  <conditionalFormatting sqref="H53:H56">
    <cfRule type="cellIs" dxfId="293" priority="73" operator="equal">
      <formula>"N/A"</formula>
    </cfRule>
  </conditionalFormatting>
  <conditionalFormatting sqref="H58:H66">
    <cfRule type="cellIs" dxfId="292" priority="72" operator="equal">
      <formula>"N/A"</formula>
    </cfRule>
  </conditionalFormatting>
  <conditionalFormatting sqref="H68">
    <cfRule type="cellIs" dxfId="291" priority="71" operator="equal">
      <formula>"N/A"</formula>
    </cfRule>
  </conditionalFormatting>
  <conditionalFormatting sqref="H76:H79">
    <cfRule type="cellIs" dxfId="290" priority="70" operator="equal">
      <formula>"N/A"</formula>
    </cfRule>
  </conditionalFormatting>
  <conditionalFormatting sqref="H70:H74">
    <cfRule type="cellIs" dxfId="289" priority="69" operator="equal">
      <formula>"N/A"</formula>
    </cfRule>
  </conditionalFormatting>
  <conditionalFormatting sqref="H81:H82">
    <cfRule type="cellIs" dxfId="288" priority="68" operator="equal">
      <formula>"N/A"</formula>
    </cfRule>
  </conditionalFormatting>
  <conditionalFormatting sqref="H84:H88">
    <cfRule type="cellIs" dxfId="287" priority="67" operator="equal">
      <formula>"N/A"</formula>
    </cfRule>
  </conditionalFormatting>
  <conditionalFormatting sqref="H90:H93">
    <cfRule type="cellIs" dxfId="286" priority="66" operator="equal">
      <formula>"N/A"</formula>
    </cfRule>
  </conditionalFormatting>
  <conditionalFormatting sqref="H95:H136">
    <cfRule type="cellIs" dxfId="285" priority="65" operator="equal">
      <formula>"N/A"</formula>
    </cfRule>
  </conditionalFormatting>
  <conditionalFormatting sqref="H137:H148">
    <cfRule type="cellIs" dxfId="284" priority="64" operator="equal">
      <formula>"N/A"</formula>
    </cfRule>
  </conditionalFormatting>
  <conditionalFormatting sqref="H26">
    <cfRule type="cellIs" dxfId="283" priority="55" operator="equal">
      <formula>"Unknown"</formula>
    </cfRule>
    <cfRule type="cellIs" dxfId="282" priority="56" operator="equal">
      <formula>"Good"</formula>
    </cfRule>
    <cfRule type="cellIs" dxfId="281" priority="57" operator="equal">
      <formula>"Repair"</formula>
    </cfRule>
    <cfRule type="cellIs" dxfId="280" priority="58" operator="equal">
      <formula>"Replace"</formula>
    </cfRule>
    <cfRule type="cellIs" dxfId="279" priority="59" operator="equal">
      <formula>"Improve"</formula>
    </cfRule>
    <cfRule type="cellIs" dxfId="278" priority="60" operator="equal">
      <formula>"Install"</formula>
    </cfRule>
    <cfRule type="cellIs" dxfId="277" priority="61" operator="equal">
      <formula>"Missing"</formula>
    </cfRule>
    <cfRule type="cellIs" dxfId="276" priority="62" operator="equal">
      <formula>"Dispose"</formula>
    </cfRule>
    <cfRule type="cellIs" dxfId="275" priority="63" operator="equal">
      <formula>"Ignore"</formula>
    </cfRule>
  </conditionalFormatting>
  <conditionalFormatting sqref="H26">
    <cfRule type="containsBlanks" priority="54">
      <formula>LEN(TRIM(H26))=0</formula>
    </cfRule>
  </conditionalFormatting>
  <conditionalFormatting sqref="H26">
    <cfRule type="cellIs" dxfId="274" priority="53" operator="equal">
      <formula>"N/A"</formula>
    </cfRule>
  </conditionalFormatting>
  <conditionalFormatting sqref="S1:S1048576">
    <cfRule type="dataBar" priority="52">
      <dataBar>
        <cfvo type="min"/>
        <cfvo type="max"/>
        <color rgb="FFFFA3A5"/>
      </dataBar>
      <extLst>
        <ext xmlns:x14="http://schemas.microsoft.com/office/spreadsheetml/2009/9/main" uri="{B025F937-C7B1-47D3-B67F-A62EFF666E3E}">
          <x14:id>{31BBA94C-1A6D-4DD1-B42A-44A1138A1C79}</x14:id>
        </ext>
      </extLst>
    </cfRule>
  </conditionalFormatting>
  <conditionalFormatting sqref="H82">
    <cfRule type="cellIs" dxfId="273" priority="51" operator="equal">
      <formula>"N/A"</formula>
    </cfRule>
  </conditionalFormatting>
  <conditionalFormatting sqref="H73">
    <cfRule type="cellIs" dxfId="272" priority="50" operator="equal">
      <formula>"N/A"</formula>
    </cfRule>
  </conditionalFormatting>
  <conditionalFormatting sqref="H101">
    <cfRule type="cellIs" dxfId="271" priority="49" operator="equal">
      <formula>"N/A"</formula>
    </cfRule>
  </conditionalFormatting>
  <conditionalFormatting sqref="H101">
    <cfRule type="cellIs" dxfId="270" priority="48" operator="equal">
      <formula>"N/A"</formula>
    </cfRule>
  </conditionalFormatting>
  <conditionalFormatting sqref="H102">
    <cfRule type="cellIs" dxfId="269" priority="47" operator="equal">
      <formula>"N/A"</formula>
    </cfRule>
  </conditionalFormatting>
  <conditionalFormatting sqref="H102">
    <cfRule type="cellIs" dxfId="268" priority="46" operator="equal">
      <formula>"N/A"</formula>
    </cfRule>
  </conditionalFormatting>
  <conditionalFormatting sqref="H96">
    <cfRule type="cellIs" dxfId="267" priority="45" operator="equal">
      <formula>"N/A"</formula>
    </cfRule>
  </conditionalFormatting>
  <conditionalFormatting sqref="H96">
    <cfRule type="cellIs" dxfId="266" priority="44" operator="equal">
      <formula>"N/A"</formula>
    </cfRule>
  </conditionalFormatting>
  <conditionalFormatting sqref="H104">
    <cfRule type="cellIs" dxfId="265" priority="43" operator="equal">
      <formula>"N/A"</formula>
    </cfRule>
  </conditionalFormatting>
  <conditionalFormatting sqref="H104">
    <cfRule type="cellIs" dxfId="264" priority="42" operator="equal">
      <formula>"N/A"</formula>
    </cfRule>
  </conditionalFormatting>
  <conditionalFormatting sqref="H106">
    <cfRule type="cellIs" dxfId="263" priority="41" operator="equal">
      <formula>"N/A"</formula>
    </cfRule>
  </conditionalFormatting>
  <conditionalFormatting sqref="H106">
    <cfRule type="cellIs" dxfId="262" priority="40" operator="equal">
      <formula>"N/A"</formula>
    </cfRule>
  </conditionalFormatting>
  <conditionalFormatting sqref="H107">
    <cfRule type="cellIs" dxfId="261" priority="39" operator="equal">
      <formula>"N/A"</formula>
    </cfRule>
  </conditionalFormatting>
  <conditionalFormatting sqref="H107">
    <cfRule type="cellIs" dxfId="260" priority="38" operator="equal">
      <formula>"N/A"</formula>
    </cfRule>
  </conditionalFormatting>
  <conditionalFormatting sqref="H95">
    <cfRule type="cellIs" dxfId="259" priority="37" operator="equal">
      <formula>"N/A"</formula>
    </cfRule>
  </conditionalFormatting>
  <conditionalFormatting sqref="H95">
    <cfRule type="cellIs" dxfId="258" priority="36" operator="equal">
      <formula>"N/A"</formula>
    </cfRule>
  </conditionalFormatting>
  <conditionalFormatting sqref="H30">
    <cfRule type="cellIs" dxfId="257" priority="27" operator="equal">
      <formula>"Unknown"</formula>
    </cfRule>
    <cfRule type="cellIs" dxfId="256" priority="28" operator="equal">
      <formula>"Good"</formula>
    </cfRule>
    <cfRule type="cellIs" dxfId="255" priority="29" operator="equal">
      <formula>"Repair"</formula>
    </cfRule>
    <cfRule type="cellIs" dxfId="254" priority="30" operator="equal">
      <formula>"Replace"</formula>
    </cfRule>
    <cfRule type="cellIs" dxfId="253" priority="31" operator="equal">
      <formula>"Improve"</formula>
    </cfRule>
    <cfRule type="cellIs" dxfId="252" priority="32" operator="equal">
      <formula>"Install"</formula>
    </cfRule>
    <cfRule type="cellIs" dxfId="251" priority="33" operator="equal">
      <formula>"Missing"</formula>
    </cfRule>
    <cfRule type="cellIs" dxfId="250" priority="34" operator="equal">
      <formula>"Dispose"</formula>
    </cfRule>
    <cfRule type="cellIs" dxfId="249" priority="35" operator="equal">
      <formula>"Ignore"</formula>
    </cfRule>
  </conditionalFormatting>
  <conditionalFormatting sqref="H30">
    <cfRule type="containsBlanks" priority="26">
      <formula>LEN(TRIM(H30))=0</formula>
    </cfRule>
  </conditionalFormatting>
  <conditionalFormatting sqref="H30">
    <cfRule type="cellIs" dxfId="248" priority="25" operator="equal">
      <formula>"N/A"</formula>
    </cfRule>
  </conditionalFormatting>
  <conditionalFormatting sqref="H31">
    <cfRule type="cellIs" dxfId="247" priority="16" operator="equal">
      <formula>"Unknown"</formula>
    </cfRule>
    <cfRule type="cellIs" dxfId="246" priority="17" operator="equal">
      <formula>"Good"</formula>
    </cfRule>
    <cfRule type="cellIs" dxfId="245" priority="18" operator="equal">
      <formula>"Repair"</formula>
    </cfRule>
    <cfRule type="cellIs" dxfId="244" priority="19" operator="equal">
      <formula>"Replace"</formula>
    </cfRule>
    <cfRule type="cellIs" dxfId="243" priority="20" operator="equal">
      <formula>"Improve"</formula>
    </cfRule>
    <cfRule type="cellIs" dxfId="242" priority="21" operator="equal">
      <formula>"Install"</formula>
    </cfRule>
    <cfRule type="cellIs" dxfId="241" priority="22" operator="equal">
      <formula>"Missing"</formula>
    </cfRule>
    <cfRule type="cellIs" dxfId="240" priority="23" operator="equal">
      <formula>"Dispose"</formula>
    </cfRule>
    <cfRule type="cellIs" dxfId="239" priority="24" operator="equal">
      <formula>"Ignore"</formula>
    </cfRule>
  </conditionalFormatting>
  <conditionalFormatting sqref="H31">
    <cfRule type="containsBlanks" priority="15">
      <formula>LEN(TRIM(H31))=0</formula>
    </cfRule>
  </conditionalFormatting>
  <conditionalFormatting sqref="H31">
    <cfRule type="cellIs" dxfId="238" priority="14" operator="equal">
      <formula>"N/A"</formula>
    </cfRule>
  </conditionalFormatting>
  <conditionalFormatting sqref="H32">
    <cfRule type="cellIs" dxfId="237" priority="5" operator="equal">
      <formula>"Unknown"</formula>
    </cfRule>
    <cfRule type="cellIs" dxfId="236" priority="6" operator="equal">
      <formula>"Good"</formula>
    </cfRule>
    <cfRule type="cellIs" dxfId="235" priority="7" operator="equal">
      <formula>"Repair"</formula>
    </cfRule>
    <cfRule type="cellIs" dxfId="234" priority="8" operator="equal">
      <formula>"Replace"</formula>
    </cfRule>
    <cfRule type="cellIs" dxfId="233" priority="9" operator="equal">
      <formula>"Improve"</formula>
    </cfRule>
    <cfRule type="cellIs" dxfId="232" priority="10" operator="equal">
      <formula>"Install"</formula>
    </cfRule>
    <cfRule type="cellIs" dxfId="231" priority="11" operator="equal">
      <formula>"Missing"</formula>
    </cfRule>
    <cfRule type="cellIs" dxfId="230" priority="12" operator="equal">
      <formula>"Dispose"</formula>
    </cfRule>
    <cfRule type="cellIs" dxfId="229" priority="13" operator="equal">
      <formula>"Ignore"</formula>
    </cfRule>
  </conditionalFormatting>
  <conditionalFormatting sqref="H32">
    <cfRule type="containsBlanks" priority="4">
      <formula>LEN(TRIM(H32))=0</formula>
    </cfRule>
  </conditionalFormatting>
  <conditionalFormatting sqref="H32">
    <cfRule type="cellIs" dxfId="228" priority="3" operator="equal">
      <formula>"N/A"</formula>
    </cfRule>
  </conditionalFormatting>
  <conditionalFormatting sqref="H93">
    <cfRule type="cellIs" dxfId="227" priority="2" operator="equal">
      <formula>"N/A"</formula>
    </cfRule>
  </conditionalFormatting>
  <conditionalFormatting sqref="H93">
    <cfRule type="cellIs" dxfId="226" priority="1" operator="equal">
      <formula>"N/A"</formula>
    </cfRule>
  </conditionalFormatting>
  <dataValidations count="1">
    <dataValidation type="list" allowBlank="1" showInputMessage="1" showErrorMessage="1" sqref="H84:H88 H53:H56 H109:H112 H68 H76:H79 H81:H82 H15:H36 H58:H66 H132:H143 H119:H125 H127:H130 H38:H46 H145:H147 H70:H74 H114:H117 H104:H107 H95:H102 H48:H51 H2:H11 H90:H93" xr:uid="{33DEC2D4-FF45-4DFB-8BB0-7338B19A1570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4" name="Button 73">
              <controlPr defaultSize="0" print="0" autoFill="0" autoPict="0" macro="[0]!ClearSheet_Click">
                <anchor moveWithCells="1" sizeWithCells="1">
                  <from>
                    <xdr:col>16</xdr:col>
                    <xdr:colOff>152400</xdr:colOff>
                    <xdr:row>1</xdr:row>
                    <xdr:rowOff>104775</xdr:rowOff>
                  </from>
                  <to>
                    <xdr:col>16</xdr:col>
                    <xdr:colOff>933450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BBA94C-1A6D-4DD1-B42A-44A1138A1C79}">
            <x14:dataBar minLength="0" maxLength="100" border="1" negativeBarBorderColorSameAsPositive="0">
              <x14:cfvo type="autoMin"/>
              <x14:cfvo type="autoMax"/>
              <x14:borderColor rgb="FFFFB3B3"/>
              <x14:negativeFillColor rgb="FFFF0000"/>
              <x14:negativeBorderColor rgb="FFFF0000"/>
              <x14:axisColor rgb="FF000000"/>
            </x14:dataBar>
          </x14:cfRule>
          <xm:sqref>S1:S1048576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18E83-F2F7-4679-9DF4-1255EE92744A}">
  <sheetPr codeName="Sheet4">
    <pageSetUpPr fitToPage="1"/>
  </sheetPr>
  <dimension ref="B2:Q96"/>
  <sheetViews>
    <sheetView topLeftCell="A13" workbookViewId="0">
      <selection activeCell="K39" sqref="K39"/>
    </sheetView>
  </sheetViews>
  <sheetFormatPr defaultRowHeight="15" x14ac:dyDescent="0.25"/>
  <cols>
    <col min="1" max="1" width="2.85546875" customWidth="1"/>
    <col min="2" max="2" width="18" customWidth="1"/>
    <col min="3" max="3" width="2.7109375" customWidth="1"/>
    <col min="4" max="4" width="33.5703125" customWidth="1"/>
    <col min="5" max="5" width="3.5703125" style="60" customWidth="1"/>
    <col min="6" max="6" width="3.85546875" style="64" customWidth="1"/>
    <col min="7" max="7" width="2.5703125" customWidth="1"/>
    <col min="8" max="8" width="13.85546875" customWidth="1"/>
    <col min="9" max="9" width="8.28515625" customWidth="1"/>
    <col min="10" max="10" width="33.28515625" style="69" customWidth="1"/>
    <col min="11" max="11" width="15.7109375" style="64" customWidth="1"/>
    <col min="12" max="12" width="2.7109375" customWidth="1"/>
    <col min="13" max="13" width="14.7109375" style="1" customWidth="1"/>
    <col min="14" max="14" width="13.7109375" style="1" customWidth="1"/>
    <col min="15" max="15" width="14.140625" style="1" customWidth="1"/>
    <col min="16" max="16" width="2.85546875" customWidth="1"/>
    <col min="17" max="17" width="16.42578125" customWidth="1"/>
  </cols>
  <sheetData>
    <row r="2" spans="2:17" x14ac:dyDescent="0.25">
      <c r="C2" s="89"/>
      <c r="D2" s="1"/>
      <c r="H2" s="118" t="s">
        <v>482</v>
      </c>
    </row>
    <row r="3" spans="2:17" x14ac:dyDescent="0.25">
      <c r="C3" s="90"/>
      <c r="D3" s="1"/>
      <c r="H3" s="118" t="s">
        <v>483</v>
      </c>
    </row>
    <row r="4" spans="2:17" x14ac:dyDescent="0.25">
      <c r="C4" s="89"/>
      <c r="D4" s="1"/>
      <c r="H4" s="118" t="s">
        <v>484</v>
      </c>
    </row>
    <row r="5" spans="2:17" x14ac:dyDescent="0.25">
      <c r="C5" s="89"/>
      <c r="D5" s="1"/>
      <c r="H5" s="118" t="s">
        <v>516</v>
      </c>
    </row>
    <row r="6" spans="2:17" x14ac:dyDescent="0.25">
      <c r="E6" s="89"/>
      <c r="H6" s="118" t="s">
        <v>638</v>
      </c>
      <c r="K6"/>
    </row>
    <row r="7" spans="2:17" x14ac:dyDescent="0.25">
      <c r="E7" s="89"/>
      <c r="H7" s="118" t="s">
        <v>639</v>
      </c>
      <c r="K7"/>
    </row>
    <row r="8" spans="2:17" x14ac:dyDescent="0.25">
      <c r="E8" s="89"/>
      <c r="H8" s="118" t="s">
        <v>631</v>
      </c>
      <c r="K8"/>
    </row>
    <row r="9" spans="2:17" x14ac:dyDescent="0.25">
      <c r="E9" s="89"/>
      <c r="H9" s="118" t="s">
        <v>712</v>
      </c>
      <c r="K9"/>
    </row>
    <row r="10" spans="2:17" x14ac:dyDescent="0.25">
      <c r="E10" s="89"/>
      <c r="H10" s="118" t="s">
        <v>485</v>
      </c>
      <c r="K10"/>
    </row>
    <row r="11" spans="2:17" x14ac:dyDescent="0.25">
      <c r="E11" s="89"/>
      <c r="H11" s="118" t="s">
        <v>637</v>
      </c>
      <c r="K11"/>
    </row>
    <row r="12" spans="2:17" x14ac:dyDescent="0.25">
      <c r="E12" s="89"/>
      <c r="K12"/>
    </row>
    <row r="13" spans="2:17" s="110" customFormat="1" ht="48" x14ac:dyDescent="0.25">
      <c r="D13" s="112" t="s">
        <v>547</v>
      </c>
      <c r="E13" s="106" t="s">
        <v>657</v>
      </c>
      <c r="F13" s="106" t="s">
        <v>632</v>
      </c>
      <c r="H13" s="110" t="s">
        <v>514</v>
      </c>
      <c r="I13" s="111" t="s">
        <v>652</v>
      </c>
      <c r="J13" s="110" t="s">
        <v>517</v>
      </c>
      <c r="K13" s="111" t="s">
        <v>649</v>
      </c>
      <c r="M13" s="107" t="s">
        <v>646</v>
      </c>
      <c r="N13" s="108" t="s">
        <v>647</v>
      </c>
      <c r="O13" s="109" t="s">
        <v>648</v>
      </c>
      <c r="Q13" s="111" t="s">
        <v>650</v>
      </c>
    </row>
    <row r="14" spans="2:17" x14ac:dyDescent="0.25">
      <c r="Q14" s="64"/>
    </row>
    <row r="15" spans="2:17" x14ac:dyDescent="0.25">
      <c r="B15" s="113" t="s">
        <v>660</v>
      </c>
      <c r="C15" s="113"/>
      <c r="D15" s="113"/>
      <c r="E15" s="114"/>
      <c r="F15" s="115"/>
      <c r="G15" s="113"/>
      <c r="H15" s="113"/>
      <c r="I15" s="113"/>
      <c r="J15" s="116"/>
      <c r="K15" s="115"/>
      <c r="L15" s="113"/>
      <c r="M15" s="117"/>
      <c r="N15" s="117"/>
      <c r="O15" s="117"/>
      <c r="P15" s="113"/>
      <c r="Q15" s="115"/>
    </row>
    <row r="16" spans="2:17" x14ac:dyDescent="0.25">
      <c r="Q16" s="64"/>
    </row>
    <row r="17" spans="2:17" x14ac:dyDescent="0.25">
      <c r="B17" t="s">
        <v>237</v>
      </c>
      <c r="D17" s="12" t="s">
        <v>569</v>
      </c>
      <c r="E17" s="62"/>
      <c r="F17" s="67" t="s">
        <v>10</v>
      </c>
      <c r="H17" s="118" t="s">
        <v>638</v>
      </c>
      <c r="I17" s="70">
        <v>0.7</v>
      </c>
      <c r="J17" s="63"/>
      <c r="K17" s="68">
        <v>0</v>
      </c>
      <c r="M17" s="57">
        <v>2600</v>
      </c>
      <c r="N17" s="58">
        <v>1900</v>
      </c>
      <c r="O17" s="59">
        <v>1500</v>
      </c>
      <c r="Q17" s="98">
        <f ca="1">CalculateInvestment(Assesment!$D$50,$H17,$I17,$M17:$O17,$K17,Assesment!$D$28,$E17,$F17)</f>
        <v>570.00000000000011</v>
      </c>
    </row>
    <row r="18" spans="2:17" x14ac:dyDescent="0.25">
      <c r="D18" s="12" t="s">
        <v>570</v>
      </c>
      <c r="E18" s="62"/>
      <c r="F18" s="67" t="s">
        <v>10</v>
      </c>
      <c r="H18" s="118" t="s">
        <v>638</v>
      </c>
      <c r="I18" s="70">
        <v>0.7</v>
      </c>
      <c r="J18" s="63"/>
      <c r="K18" s="68">
        <v>0</v>
      </c>
      <c r="M18" s="57">
        <v>3300</v>
      </c>
      <c r="N18" s="58">
        <v>2000</v>
      </c>
      <c r="O18" s="59">
        <v>1800</v>
      </c>
      <c r="Q18" s="98">
        <f ca="1">CalculateInvestment(Assesment!$D$50,$H18,$I18,$M18:$O18,$K18,Assesment!$D$28,$E18,$F18)</f>
        <v>600.00000000000011</v>
      </c>
    </row>
    <row r="19" spans="2:17" x14ac:dyDescent="0.25">
      <c r="D19" s="12" t="s">
        <v>571</v>
      </c>
      <c r="E19" s="62"/>
      <c r="F19" s="67" t="s">
        <v>10</v>
      </c>
      <c r="H19" s="118" t="s">
        <v>639</v>
      </c>
      <c r="I19" s="70" t="s">
        <v>519</v>
      </c>
      <c r="J19" s="63" t="s">
        <v>713</v>
      </c>
      <c r="K19" s="68">
        <v>800</v>
      </c>
      <c r="M19" s="57">
        <v>1300</v>
      </c>
      <c r="N19" s="58">
        <v>1100</v>
      </c>
      <c r="O19" s="59">
        <v>400</v>
      </c>
      <c r="Q19" s="98">
        <f ca="1">CalculateInvestment(Assesment!$D$50,$H19,$I19,$M19:$O19,$K19,Assesment!$D$28,$E19,$F19)</f>
        <v>800</v>
      </c>
    </row>
    <row r="20" spans="2:17" x14ac:dyDescent="0.25">
      <c r="H20" s="118"/>
      <c r="Q20" s="64"/>
    </row>
    <row r="21" spans="2:17" x14ac:dyDescent="0.25">
      <c r="B21" t="s">
        <v>656</v>
      </c>
      <c r="D21" s="12" t="s">
        <v>572</v>
      </c>
      <c r="E21" s="62"/>
      <c r="F21" s="67" t="s">
        <v>10</v>
      </c>
      <c r="H21" s="118" t="s">
        <v>638</v>
      </c>
      <c r="I21" s="70">
        <v>0.7</v>
      </c>
      <c r="J21" s="63"/>
      <c r="K21" s="68">
        <v>0</v>
      </c>
      <c r="M21" s="57">
        <v>800</v>
      </c>
      <c r="N21" s="58">
        <v>600</v>
      </c>
      <c r="O21" s="59">
        <v>500</v>
      </c>
      <c r="Q21" s="98">
        <f ca="1">CalculateInvestment(Assesment!$D$50,$H21,$I21,$M21:$O21,$K21,Assesment!$D$28,$E21,$F21)</f>
        <v>180.00000000000003</v>
      </c>
    </row>
    <row r="22" spans="2:17" x14ac:dyDescent="0.25">
      <c r="D22" s="12" t="s">
        <v>573</v>
      </c>
      <c r="E22" s="62"/>
      <c r="F22" s="67" t="s">
        <v>10</v>
      </c>
      <c r="H22" s="118" t="s">
        <v>638</v>
      </c>
      <c r="I22" s="70">
        <v>0.7</v>
      </c>
      <c r="J22" s="63"/>
      <c r="K22" s="68">
        <v>0</v>
      </c>
      <c r="M22" s="57">
        <v>500</v>
      </c>
      <c r="N22" s="58">
        <v>300</v>
      </c>
      <c r="O22" s="59">
        <v>300</v>
      </c>
      <c r="Q22" s="98">
        <f ca="1">CalculateInvestment(Assesment!$D$50,$H22,$I22,$M22:$O22,$K22,Assesment!$D$28,$E22,$F22)</f>
        <v>90.000000000000014</v>
      </c>
    </row>
    <row r="23" spans="2:17" x14ac:dyDescent="0.25">
      <c r="D23" s="12" t="s">
        <v>574</v>
      </c>
      <c r="E23" s="62"/>
      <c r="F23" s="67" t="s">
        <v>10</v>
      </c>
      <c r="H23" s="118" t="s">
        <v>638</v>
      </c>
      <c r="I23" s="70">
        <v>0.7</v>
      </c>
      <c r="J23" s="63"/>
      <c r="K23" s="68">
        <v>0</v>
      </c>
      <c r="M23" s="57">
        <v>500</v>
      </c>
      <c r="N23" s="58">
        <v>300</v>
      </c>
      <c r="O23" s="59">
        <v>300</v>
      </c>
      <c r="Q23" s="98">
        <f ca="1">CalculateInvestment(Assesment!$D$50,$H23,$I23,$M23:$O23,$K23,Assesment!$D$28,$E23,$F23)</f>
        <v>90.000000000000014</v>
      </c>
    </row>
    <row r="24" spans="2:17" x14ac:dyDescent="0.25">
      <c r="D24" s="12" t="s">
        <v>575</v>
      </c>
      <c r="E24" s="62"/>
      <c r="F24" s="67" t="s">
        <v>10</v>
      </c>
      <c r="H24" s="118" t="s">
        <v>638</v>
      </c>
      <c r="I24" s="70">
        <v>0.7</v>
      </c>
      <c r="J24" s="63"/>
      <c r="K24" s="68">
        <v>0</v>
      </c>
      <c r="M24" s="57">
        <v>1800</v>
      </c>
      <c r="N24" s="58">
        <v>1400</v>
      </c>
      <c r="O24" s="59">
        <v>1300</v>
      </c>
      <c r="Q24" s="98">
        <f ca="1">CalculateInvestment(Assesment!$D$50,$H24,$I24,$M24:$O24,$K24,Assesment!$D$28,$E24,$F24)</f>
        <v>420.00000000000006</v>
      </c>
    </row>
    <row r="25" spans="2:17" x14ac:dyDescent="0.25">
      <c r="D25" s="12" t="s">
        <v>576</v>
      </c>
      <c r="E25" s="62"/>
      <c r="F25" s="67" t="s">
        <v>10</v>
      </c>
      <c r="H25" s="118" t="s">
        <v>638</v>
      </c>
      <c r="I25" s="70">
        <v>0.7</v>
      </c>
      <c r="J25" s="63"/>
      <c r="K25" s="68">
        <v>0</v>
      </c>
      <c r="M25" s="57">
        <v>3300</v>
      </c>
      <c r="N25" s="58">
        <v>2800</v>
      </c>
      <c r="O25" s="59">
        <v>2700</v>
      </c>
      <c r="Q25" s="98">
        <f ca="1">CalculateInvestment(Assesment!$D$50,$H25,$I25,$M25:$O25,$K25,Assesment!$D$28,$E25,$F25)</f>
        <v>840.00000000000011</v>
      </c>
    </row>
    <row r="26" spans="2:17" x14ac:dyDescent="0.25">
      <c r="D26" s="12" t="s">
        <v>577</v>
      </c>
      <c r="E26" s="62"/>
      <c r="F26" s="67" t="s">
        <v>10</v>
      </c>
      <c r="H26" s="118" t="s">
        <v>638</v>
      </c>
      <c r="I26" s="70">
        <v>0.5</v>
      </c>
      <c r="J26" s="63"/>
      <c r="K26" s="68">
        <v>0</v>
      </c>
      <c r="M26" s="57">
        <v>500</v>
      </c>
      <c r="N26" s="58">
        <v>400</v>
      </c>
      <c r="O26" s="59">
        <v>300</v>
      </c>
      <c r="Q26" s="98">
        <f ca="1">CalculateInvestment(Assesment!$D$50,$H26,$I26,$M26:$O26,$K26,Assesment!$D$28,$E26,$F26)</f>
        <v>200</v>
      </c>
    </row>
    <row r="27" spans="2:17" x14ac:dyDescent="0.25">
      <c r="D27" s="12" t="s">
        <v>578</v>
      </c>
      <c r="E27" s="62"/>
      <c r="H27" s="118" t="s">
        <v>712</v>
      </c>
      <c r="I27" s="70" t="s">
        <v>519</v>
      </c>
      <c r="J27" s="63"/>
      <c r="K27" s="68">
        <v>0</v>
      </c>
      <c r="M27" s="57">
        <v>500</v>
      </c>
      <c r="N27" s="58">
        <v>400</v>
      </c>
      <c r="O27" s="59">
        <v>300</v>
      </c>
      <c r="Q27" s="98">
        <f ca="1">CalculateInvestment(Assesment!$D$50,$H27,$I27,$M27:$O27,$K27,Assesment!$D$28,$E27,$F27)</f>
        <v>0</v>
      </c>
    </row>
    <row r="28" spans="2:17" x14ac:dyDescent="0.25">
      <c r="H28" s="118"/>
      <c r="Q28" s="64"/>
    </row>
    <row r="29" spans="2:17" x14ac:dyDescent="0.25">
      <c r="B29" t="s">
        <v>58</v>
      </c>
      <c r="D29" s="12" t="s">
        <v>579</v>
      </c>
      <c r="E29" s="62"/>
      <c r="F29" s="67" t="s">
        <v>10</v>
      </c>
      <c r="H29" s="118" t="s">
        <v>638</v>
      </c>
      <c r="I29" s="70">
        <v>0.6</v>
      </c>
      <c r="J29" s="63"/>
      <c r="K29" s="68">
        <v>0</v>
      </c>
      <c r="M29" s="57">
        <v>700</v>
      </c>
      <c r="N29" s="58">
        <v>500</v>
      </c>
      <c r="O29" s="59">
        <v>400</v>
      </c>
      <c r="Q29" s="98">
        <f ca="1">CalculateInvestment(Assesment!$D$50,$H29,$I29,$M29:$O29,$K29,Assesment!$D$28,$E29,$F29)</f>
        <v>200</v>
      </c>
    </row>
    <row r="30" spans="2:17" x14ac:dyDescent="0.25">
      <c r="Q30" s="64"/>
    </row>
    <row r="31" spans="2:17" ht="15.75" thickBot="1" x14ac:dyDescent="0.3">
      <c r="M31" s="85">
        <f>SUM(M17:M30)</f>
        <v>15800</v>
      </c>
      <c r="N31" s="85">
        <f>SUM(N17:N30)</f>
        <v>11700</v>
      </c>
      <c r="O31" s="85">
        <f>SUM(O17:O30)</f>
        <v>9800</v>
      </c>
      <c r="Q31" s="100">
        <f ca="1">SUM(Q17:Q30)</f>
        <v>3990.0000000000005</v>
      </c>
    </row>
    <row r="32" spans="2:17" ht="15.75" thickTop="1" x14ac:dyDescent="0.25">
      <c r="Q32" s="64"/>
    </row>
    <row r="33" spans="2:17" x14ac:dyDescent="0.25">
      <c r="B33" s="113" t="s">
        <v>281</v>
      </c>
      <c r="C33" s="113"/>
      <c r="D33" s="113"/>
      <c r="E33" s="114"/>
      <c r="F33" s="115"/>
      <c r="G33" s="113"/>
      <c r="H33" s="113"/>
      <c r="I33" s="113"/>
      <c r="J33" s="116"/>
      <c r="K33" s="115"/>
      <c r="L33" s="113"/>
      <c r="M33" s="117"/>
      <c r="N33" s="117"/>
      <c r="O33" s="117"/>
      <c r="P33" s="113"/>
      <c r="Q33" s="115"/>
    </row>
    <row r="34" spans="2:17" x14ac:dyDescent="0.25">
      <c r="Q34" s="64"/>
    </row>
    <row r="35" spans="2:17" x14ac:dyDescent="0.25">
      <c r="B35" t="s">
        <v>658</v>
      </c>
      <c r="D35" s="12" t="s">
        <v>580</v>
      </c>
      <c r="E35" s="62"/>
      <c r="F35" s="67" t="s">
        <v>10</v>
      </c>
      <c r="H35" s="118" t="s">
        <v>639</v>
      </c>
      <c r="I35" s="70" t="s">
        <v>519</v>
      </c>
      <c r="J35" s="63" t="s">
        <v>714</v>
      </c>
      <c r="K35" s="68">
        <v>1200</v>
      </c>
      <c r="M35" s="57">
        <v>2500</v>
      </c>
      <c r="N35" s="58">
        <v>2400</v>
      </c>
      <c r="O35" s="59">
        <v>2300</v>
      </c>
      <c r="Q35" s="98">
        <f ca="1">CalculateInvestment(Assesment!$D$50,$H35,$I35,$M35:$O35,$K35,Assesment!$D$28,$E35,$F35)</f>
        <v>1200</v>
      </c>
    </row>
    <row r="36" spans="2:17" x14ac:dyDescent="0.25">
      <c r="D36" s="12" t="s">
        <v>581</v>
      </c>
      <c r="E36" s="62"/>
      <c r="F36" s="67" t="s">
        <v>10</v>
      </c>
      <c r="H36" s="118" t="s">
        <v>639</v>
      </c>
      <c r="I36" s="70" t="s">
        <v>519</v>
      </c>
      <c r="J36" s="63" t="s">
        <v>715</v>
      </c>
      <c r="K36" s="68">
        <v>1500</v>
      </c>
      <c r="M36" s="57">
        <v>2600</v>
      </c>
      <c r="N36" s="58">
        <v>2500</v>
      </c>
      <c r="O36" s="59">
        <v>2400</v>
      </c>
      <c r="Q36" s="98">
        <f ca="1">CalculateInvestment(Assesment!$D$50,$H36,$I36,$M36:$O36,$K36,Assesment!$D$28,$E36,$F36)</f>
        <v>1500</v>
      </c>
    </row>
    <row r="37" spans="2:17" x14ac:dyDescent="0.25">
      <c r="D37" s="12" t="s">
        <v>582</v>
      </c>
      <c r="E37" s="62"/>
      <c r="F37" s="67" t="s">
        <v>10</v>
      </c>
      <c r="H37" s="118" t="s">
        <v>637</v>
      </c>
      <c r="I37" s="70" t="s">
        <v>519</v>
      </c>
      <c r="J37" s="63" t="s">
        <v>727</v>
      </c>
      <c r="K37" s="68">
        <v>0</v>
      </c>
      <c r="M37" s="57">
        <v>2200</v>
      </c>
      <c r="N37" s="58">
        <v>2100</v>
      </c>
      <c r="O37" s="59">
        <v>2100</v>
      </c>
      <c r="Q37" s="98">
        <f ca="1">CalculateInvestment(Assesment!$D$50,$H37,$I37,$M37:$O37,$K37,Assesment!$D$28,$E37,$F37)</f>
        <v>0</v>
      </c>
    </row>
    <row r="38" spans="2:17" x14ac:dyDescent="0.25">
      <c r="D38" s="12" t="s">
        <v>583</v>
      </c>
      <c r="E38" s="62"/>
      <c r="F38" s="67" t="s">
        <v>10</v>
      </c>
      <c r="H38" s="118" t="s">
        <v>639</v>
      </c>
      <c r="I38" s="70" t="s">
        <v>519</v>
      </c>
      <c r="J38" s="63"/>
      <c r="K38" s="68">
        <v>2000</v>
      </c>
      <c r="M38" s="57">
        <v>3800</v>
      </c>
      <c r="N38" s="58">
        <v>2700</v>
      </c>
      <c r="O38" s="59">
        <v>2700</v>
      </c>
      <c r="Q38" s="98">
        <f ca="1">CalculateInvestment(Assesment!$D$50,$H38,$I38,$M38:$O38,$K38,Assesment!$D$28,$E38,$F38)</f>
        <v>2000</v>
      </c>
    </row>
    <row r="39" spans="2:17" x14ac:dyDescent="0.25">
      <c r="D39" s="12" t="s">
        <v>584</v>
      </c>
      <c r="E39" s="62"/>
      <c r="F39" s="67" t="s">
        <v>10</v>
      </c>
      <c r="H39" s="118" t="s">
        <v>639</v>
      </c>
      <c r="I39" s="70">
        <v>0.8</v>
      </c>
      <c r="J39" s="63"/>
      <c r="K39" s="68">
        <v>0</v>
      </c>
      <c r="M39" s="57">
        <v>2700</v>
      </c>
      <c r="N39" s="58">
        <v>1800</v>
      </c>
      <c r="O39" s="59">
        <v>1200</v>
      </c>
      <c r="Q39" s="98">
        <f ca="1">CalculateInvestment(Assesment!$D$50,$H39,$I39,$M39:$O39,$K39,Assesment!$D$28,$E39,$F39)</f>
        <v>1800</v>
      </c>
    </row>
    <row r="40" spans="2:17" x14ac:dyDescent="0.25">
      <c r="D40" s="12" t="s">
        <v>585</v>
      </c>
      <c r="E40" s="62"/>
      <c r="H40" s="118" t="s">
        <v>639</v>
      </c>
      <c r="I40" s="70" t="s">
        <v>519</v>
      </c>
      <c r="J40" s="63"/>
      <c r="K40" s="68">
        <v>0</v>
      </c>
      <c r="M40" s="57">
        <v>900</v>
      </c>
      <c r="N40" s="58">
        <v>750</v>
      </c>
      <c r="O40" s="59">
        <v>500</v>
      </c>
      <c r="Q40" s="98">
        <f ca="1">CalculateInvestment(Assesment!$D$50,$H40,$I40,$M40:$O40,$K40,Assesment!$D$28,$E40,$F40)</f>
        <v>750</v>
      </c>
    </row>
    <row r="41" spans="2:17" x14ac:dyDescent="0.25">
      <c r="E41"/>
      <c r="F41"/>
      <c r="H41" s="118"/>
      <c r="J41"/>
      <c r="K41"/>
      <c r="M41"/>
      <c r="N41"/>
      <c r="O41"/>
    </row>
    <row r="42" spans="2:17" x14ac:dyDescent="0.25">
      <c r="B42" t="s">
        <v>659</v>
      </c>
      <c r="D42" s="12" t="s">
        <v>5</v>
      </c>
      <c r="E42" s="61"/>
      <c r="F42" s="67" t="s">
        <v>10</v>
      </c>
      <c r="H42" s="118" t="s">
        <v>639</v>
      </c>
      <c r="I42" s="70" t="s">
        <v>519</v>
      </c>
      <c r="J42" s="63"/>
      <c r="K42" s="68">
        <v>0</v>
      </c>
      <c r="M42" s="57">
        <v>1500</v>
      </c>
      <c r="N42" s="58">
        <v>900</v>
      </c>
      <c r="O42" s="59">
        <v>700</v>
      </c>
      <c r="Q42" s="98">
        <f ca="1">CalculateInvestment(Assesment!$D$50,$H42,$I42,$M42:$O42,$K42,Assesment!$D$28,$E42,$F42)</f>
        <v>900</v>
      </c>
    </row>
    <row r="43" spans="2:17" x14ac:dyDescent="0.25">
      <c r="D43" s="12" t="s">
        <v>586</v>
      </c>
      <c r="E43" s="62"/>
      <c r="F43" s="67" t="s">
        <v>10</v>
      </c>
      <c r="H43" s="118" t="s">
        <v>639</v>
      </c>
      <c r="I43" s="70" t="s">
        <v>519</v>
      </c>
      <c r="J43" s="63"/>
      <c r="K43" s="68">
        <v>0</v>
      </c>
      <c r="M43" s="57">
        <v>3500</v>
      </c>
      <c r="N43" s="58">
        <v>3000</v>
      </c>
      <c r="O43" s="59">
        <v>2500</v>
      </c>
      <c r="Q43" s="98">
        <f ca="1">CalculateInvestment(Assesment!$D$50,$H43,$I43,$M43:$O43,$K43,Assesment!$D$28,$E43,$F43)</f>
        <v>3000</v>
      </c>
    </row>
    <row r="44" spans="2:17" x14ac:dyDescent="0.25">
      <c r="D44" s="12" t="s">
        <v>644</v>
      </c>
      <c r="E44" s="62"/>
      <c r="H44" s="118" t="s">
        <v>639</v>
      </c>
      <c r="I44" s="70" t="s">
        <v>519</v>
      </c>
      <c r="J44" s="63"/>
      <c r="K44" s="68">
        <v>0</v>
      </c>
      <c r="M44" s="57">
        <v>1300</v>
      </c>
      <c r="N44" s="58">
        <v>900</v>
      </c>
      <c r="O44" s="59">
        <v>600</v>
      </c>
      <c r="Q44" s="98">
        <f ca="1">CalculateInvestment(Assesment!$D$50,$H44,$I44,$M44:$O44,$K44,Assesment!$D$28,$E44,$F44)</f>
        <v>900</v>
      </c>
    </row>
    <row r="45" spans="2:17" x14ac:dyDescent="0.25">
      <c r="E45"/>
      <c r="F45"/>
      <c r="H45" s="118"/>
      <c r="J45"/>
      <c r="K45"/>
      <c r="M45"/>
      <c r="N45"/>
      <c r="O45"/>
    </row>
    <row r="46" spans="2:17" x14ac:dyDescent="0.25">
      <c r="B46" t="s">
        <v>469</v>
      </c>
      <c r="D46" s="12" t="s">
        <v>587</v>
      </c>
      <c r="E46" s="62"/>
      <c r="F46" s="67" t="s">
        <v>10</v>
      </c>
      <c r="H46" s="118" t="s">
        <v>639</v>
      </c>
      <c r="I46" s="70" t="s">
        <v>519</v>
      </c>
      <c r="J46" s="63"/>
      <c r="K46" s="68">
        <v>0</v>
      </c>
      <c r="M46" s="57">
        <v>800</v>
      </c>
      <c r="N46" s="58">
        <v>600</v>
      </c>
      <c r="O46" s="59">
        <v>500</v>
      </c>
      <c r="Q46" s="98">
        <f ca="1">CalculateInvestment(Assesment!$D$50,$H46,$I46,$M46:$O46,$K46,Assesment!$D$28,$E46,$F46)</f>
        <v>600</v>
      </c>
    </row>
    <row r="47" spans="2:17" x14ac:dyDescent="0.25">
      <c r="D47" s="12" t="s">
        <v>588</v>
      </c>
      <c r="E47" s="62"/>
      <c r="H47" s="118" t="s">
        <v>639</v>
      </c>
      <c r="I47" s="70" t="s">
        <v>519</v>
      </c>
      <c r="J47" s="63"/>
      <c r="K47" s="68">
        <v>200</v>
      </c>
      <c r="M47" s="57">
        <v>500</v>
      </c>
      <c r="N47" s="58">
        <v>300</v>
      </c>
      <c r="O47" s="59">
        <v>300</v>
      </c>
      <c r="Q47" s="98">
        <f ca="1">CalculateInvestment(Assesment!$D$50,$H47,$I47,$M47:$O47,$K47,Assesment!$D$28,$E47,$F47)</f>
        <v>200</v>
      </c>
    </row>
    <row r="48" spans="2:17" x14ac:dyDescent="0.25">
      <c r="D48" s="12" t="s">
        <v>589</v>
      </c>
      <c r="E48" s="62"/>
      <c r="F48" s="67" t="s">
        <v>10</v>
      </c>
      <c r="H48" s="118" t="s">
        <v>638</v>
      </c>
      <c r="I48" s="70">
        <v>0.5</v>
      </c>
      <c r="J48" s="63"/>
      <c r="K48" s="68">
        <v>0</v>
      </c>
      <c r="M48" s="57">
        <v>900</v>
      </c>
      <c r="N48" s="58">
        <v>600</v>
      </c>
      <c r="O48" s="59">
        <v>500</v>
      </c>
      <c r="Q48" s="98">
        <f ca="1">CalculateInvestment(Assesment!$D$50,$H48,$I48,$M48:$O48,$K48,Assesment!$D$28,$E48,$F48)</f>
        <v>300</v>
      </c>
    </row>
    <row r="49" spans="2:17" x14ac:dyDescent="0.25">
      <c r="Q49" s="64"/>
    </row>
    <row r="50" spans="2:17" ht="15.75" thickBot="1" x14ac:dyDescent="0.3">
      <c r="M50" s="85">
        <f>SUM(M35:M49)</f>
        <v>23200</v>
      </c>
      <c r="N50" s="85">
        <f>SUM(N35:N49)</f>
        <v>18550</v>
      </c>
      <c r="O50" s="85">
        <f>SUM(O35:O49)</f>
        <v>16300</v>
      </c>
      <c r="Q50" s="100">
        <f ca="1">SUM(Q35:Q49)</f>
        <v>13150</v>
      </c>
    </row>
    <row r="51" spans="2:17" ht="15.75" thickTop="1" x14ac:dyDescent="0.25">
      <c r="J51"/>
      <c r="Q51" s="9"/>
    </row>
    <row r="52" spans="2:17" x14ac:dyDescent="0.25">
      <c r="B52" s="113" t="s">
        <v>607</v>
      </c>
      <c r="C52" s="113"/>
      <c r="D52" s="113"/>
      <c r="E52" s="114"/>
      <c r="F52" s="115"/>
      <c r="G52" s="113"/>
      <c r="H52" s="113"/>
      <c r="I52" s="113"/>
      <c r="J52" s="116"/>
      <c r="K52" s="115"/>
      <c r="L52" s="113"/>
      <c r="M52" s="117"/>
      <c r="N52" s="117"/>
      <c r="O52" s="117"/>
      <c r="P52" s="113"/>
      <c r="Q52" s="115"/>
    </row>
    <row r="53" spans="2:17" x14ac:dyDescent="0.25">
      <c r="J53"/>
      <c r="Q53" s="9"/>
    </row>
    <row r="54" spans="2:17" x14ac:dyDescent="0.25">
      <c r="D54" s="12" t="s">
        <v>617</v>
      </c>
      <c r="E54" s="62"/>
      <c r="H54" s="118" t="s">
        <v>639</v>
      </c>
      <c r="I54" s="70" t="s">
        <v>519</v>
      </c>
      <c r="J54" s="63"/>
      <c r="K54" s="68">
        <v>0</v>
      </c>
      <c r="M54" s="57">
        <v>3000</v>
      </c>
      <c r="N54" s="58">
        <v>2000</v>
      </c>
      <c r="O54" s="59">
        <v>1000</v>
      </c>
      <c r="Q54" s="98">
        <f ca="1">CalculateInvestment(Assesment!$D$50,$H54,$I54,$M54:$O54,$K54,Assesment!$D$28,$E54,$F54)</f>
        <v>2000</v>
      </c>
    </row>
    <row r="55" spans="2:17" x14ac:dyDescent="0.25">
      <c r="Q55" s="64"/>
    </row>
    <row r="56" spans="2:17" ht="15.75" thickBot="1" x14ac:dyDescent="0.3">
      <c r="M56" s="85">
        <f>SUM(M54:M55)</f>
        <v>3000</v>
      </c>
      <c r="N56" s="85">
        <f>SUM(N54:N55)</f>
        <v>2000</v>
      </c>
      <c r="O56" s="85">
        <f>SUM(O54:O55)</f>
        <v>1000</v>
      </c>
      <c r="Q56" s="100">
        <f ca="1">SUM(Q54:Q55)</f>
        <v>2000</v>
      </c>
    </row>
    <row r="57" spans="2:17" ht="15.75" thickTop="1" x14ac:dyDescent="0.25">
      <c r="J57"/>
      <c r="Q57" s="9"/>
    </row>
    <row r="58" spans="2:17" x14ac:dyDescent="0.25">
      <c r="B58" s="113" t="s">
        <v>668</v>
      </c>
      <c r="C58" s="113"/>
      <c r="D58" s="113"/>
      <c r="E58" s="114"/>
      <c r="F58" s="115"/>
      <c r="G58" s="113"/>
      <c r="H58" s="113"/>
      <c r="I58" s="113"/>
      <c r="J58" s="116"/>
      <c r="K58" s="115"/>
      <c r="L58" s="113"/>
      <c r="M58" s="117"/>
      <c r="N58" s="117"/>
      <c r="O58" s="117"/>
      <c r="P58" s="113"/>
      <c r="Q58" s="115"/>
    </row>
    <row r="59" spans="2:17" x14ac:dyDescent="0.25">
      <c r="J59"/>
      <c r="Q59" s="9"/>
    </row>
    <row r="60" spans="2:17" x14ac:dyDescent="0.25">
      <c r="B60" t="s">
        <v>667</v>
      </c>
      <c r="D60" s="12" t="s">
        <v>535</v>
      </c>
      <c r="E60" s="61" t="s">
        <v>548</v>
      </c>
      <c r="F60" s="67" t="s">
        <v>10</v>
      </c>
      <c r="H60" s="118" t="s">
        <v>639</v>
      </c>
      <c r="I60" s="70" t="s">
        <v>519</v>
      </c>
      <c r="J60" s="63" t="s">
        <v>716</v>
      </c>
      <c r="K60" s="68">
        <v>15</v>
      </c>
      <c r="M60" s="57">
        <v>25</v>
      </c>
      <c r="N60" s="58">
        <v>25</v>
      </c>
      <c r="O60" s="59">
        <v>25</v>
      </c>
      <c r="Q60" s="98">
        <f ca="1">CalculateInvestmentPerFoot(Assesment!$D$50,$H60,$I60,$M60:$O60,$K60,Assesment!$D$28,$F60)</f>
        <v>660</v>
      </c>
    </row>
    <row r="61" spans="2:17" x14ac:dyDescent="0.25">
      <c r="D61" s="12" t="s">
        <v>536</v>
      </c>
      <c r="E61" s="62"/>
      <c r="F61" s="67" t="s">
        <v>10</v>
      </c>
      <c r="H61" s="118" t="s">
        <v>637</v>
      </c>
      <c r="I61" s="70" t="s">
        <v>519</v>
      </c>
      <c r="J61" s="63" t="s">
        <v>717</v>
      </c>
      <c r="K61" s="68">
        <v>0</v>
      </c>
      <c r="M61" s="57">
        <v>600</v>
      </c>
      <c r="N61" s="58">
        <v>400</v>
      </c>
      <c r="O61" s="59">
        <v>400</v>
      </c>
      <c r="Q61" s="98">
        <f ca="1">CalculateInvestment(Assesment!$D$50,$H61,$I61,$M61:$O61,$K61,Assesment!$D$28,$E61,$F61)</f>
        <v>0</v>
      </c>
    </row>
    <row r="62" spans="2:17" x14ac:dyDescent="0.25">
      <c r="D62" s="12" t="s">
        <v>687</v>
      </c>
      <c r="E62" s="61" t="s">
        <v>548</v>
      </c>
      <c r="F62" s="67" t="s">
        <v>10</v>
      </c>
      <c r="H62" s="118" t="s">
        <v>639</v>
      </c>
      <c r="I62" s="70" t="s">
        <v>519</v>
      </c>
      <c r="J62" s="63" t="s">
        <v>716</v>
      </c>
      <c r="K62" s="68">
        <v>10</v>
      </c>
      <c r="M62" s="57">
        <v>15</v>
      </c>
      <c r="N62" s="58">
        <v>18</v>
      </c>
      <c r="O62" s="59">
        <v>15</v>
      </c>
      <c r="Q62" s="98">
        <f ca="1">CalculateInvestmentPerFoot(Assesment!$D$50,$H62,$I62,$M62:$O62,$K62,Assesment!$D$28,$F62)</f>
        <v>440</v>
      </c>
    </row>
    <row r="63" spans="2:17" x14ac:dyDescent="0.25">
      <c r="J63"/>
    </row>
    <row r="64" spans="2:17" x14ac:dyDescent="0.25">
      <c r="B64" t="s">
        <v>684</v>
      </c>
      <c r="D64" s="12" t="s">
        <v>29</v>
      </c>
      <c r="E64" s="62"/>
      <c r="H64" s="118" t="s">
        <v>637</v>
      </c>
      <c r="I64" s="70" t="s">
        <v>519</v>
      </c>
      <c r="J64" s="63"/>
      <c r="K64" s="68">
        <v>0</v>
      </c>
      <c r="M64" s="57">
        <v>0</v>
      </c>
      <c r="N64" s="58">
        <v>0</v>
      </c>
      <c r="O64" s="59">
        <v>0</v>
      </c>
      <c r="Q64" s="98">
        <f ca="1">CalculateInvestment(Assesment!$D$50,$H64,$I64,$M64:$O64,$K64,Assesment!$D$28,$E64,$F64)</f>
        <v>0</v>
      </c>
    </row>
    <row r="65" spans="2:17" x14ac:dyDescent="0.25">
      <c r="D65" s="12" t="s">
        <v>669</v>
      </c>
      <c r="E65" s="62"/>
      <c r="F65" s="67" t="s">
        <v>10</v>
      </c>
      <c r="H65" s="118" t="s">
        <v>639</v>
      </c>
      <c r="I65" s="70" t="s">
        <v>519</v>
      </c>
      <c r="J65" s="63" t="s">
        <v>716</v>
      </c>
      <c r="K65" s="68">
        <v>1000</v>
      </c>
      <c r="M65" s="57">
        <v>700</v>
      </c>
      <c r="N65" s="58">
        <v>700</v>
      </c>
      <c r="O65" s="59">
        <v>700</v>
      </c>
      <c r="Q65" s="98">
        <f ca="1">CalculateInvestment(Assesment!$D$50,$H65,$I65,$M65:$O65,$K65,Assesment!$D$28,$E65,$F65)</f>
        <v>1000</v>
      </c>
    </row>
    <row r="66" spans="2:17" x14ac:dyDescent="0.25">
      <c r="D66" s="12" t="s">
        <v>670</v>
      </c>
      <c r="E66" s="62"/>
      <c r="F66" s="67" t="s">
        <v>10</v>
      </c>
      <c r="H66" s="118" t="s">
        <v>639</v>
      </c>
      <c r="I66" s="70" t="s">
        <v>519</v>
      </c>
      <c r="J66" s="63" t="s">
        <v>716</v>
      </c>
      <c r="K66" s="68">
        <v>0</v>
      </c>
      <c r="M66" s="57">
        <v>300</v>
      </c>
      <c r="N66" s="58">
        <v>300</v>
      </c>
      <c r="O66" s="59">
        <v>300</v>
      </c>
      <c r="Q66" s="98">
        <f ca="1">CalculateInvestment(Assesment!$D$50,$H66,$I66,$M66:$O66,$K66,Assesment!$D$28,$E66,$F66)</f>
        <v>300</v>
      </c>
    </row>
    <row r="67" spans="2:17" x14ac:dyDescent="0.25">
      <c r="E67"/>
      <c r="F67"/>
      <c r="J67"/>
      <c r="K67"/>
      <c r="M67"/>
      <c r="N67"/>
      <c r="O67"/>
    </row>
    <row r="68" spans="2:17" x14ac:dyDescent="0.25">
      <c r="B68" t="s">
        <v>683</v>
      </c>
      <c r="D68" s="12" t="s">
        <v>671</v>
      </c>
      <c r="E68" s="62"/>
      <c r="F68" s="67" t="s">
        <v>10</v>
      </c>
      <c r="H68" s="118" t="s">
        <v>639</v>
      </c>
      <c r="I68" s="70" t="s">
        <v>519</v>
      </c>
      <c r="J68" s="63" t="s">
        <v>716</v>
      </c>
      <c r="K68" s="68">
        <v>300</v>
      </c>
      <c r="M68" s="57">
        <v>800</v>
      </c>
      <c r="N68" s="58">
        <v>500</v>
      </c>
      <c r="O68" s="59">
        <v>300</v>
      </c>
      <c r="Q68" s="98">
        <f ca="1">CalculateInvestment(Assesment!$D$50,$H68,$I68,$M68:$O68,$K68,Assesment!$D$28,$E68,$F68)</f>
        <v>300</v>
      </c>
    </row>
    <row r="69" spans="2:17" x14ac:dyDescent="0.25">
      <c r="D69" s="12" t="s">
        <v>672</v>
      </c>
      <c r="E69" s="62"/>
      <c r="H69" s="118" t="s">
        <v>637</v>
      </c>
      <c r="I69" s="70" t="s">
        <v>519</v>
      </c>
      <c r="J69" s="121" t="s">
        <v>673</v>
      </c>
      <c r="K69" s="68">
        <v>0</v>
      </c>
      <c r="M69" s="57">
        <v>2000</v>
      </c>
      <c r="N69" s="58">
        <v>1500</v>
      </c>
      <c r="O69" s="59">
        <v>1000</v>
      </c>
      <c r="Q69" s="98">
        <f ca="1">CalculateInvestment(Assesment!$D$50,$H69,$I69,$M69:$O69,$K69,Assesment!$D$28,$E69,$F69)</f>
        <v>0</v>
      </c>
    </row>
    <row r="70" spans="2:17" x14ac:dyDescent="0.25">
      <c r="E70"/>
      <c r="F70"/>
      <c r="J70"/>
      <c r="K70"/>
      <c r="M70"/>
      <c r="N70"/>
      <c r="O70"/>
    </row>
    <row r="71" spans="2:17" x14ac:dyDescent="0.25">
      <c r="B71" t="s">
        <v>685</v>
      </c>
      <c r="D71" s="12" t="s">
        <v>686</v>
      </c>
      <c r="E71" s="61" t="s">
        <v>548</v>
      </c>
      <c r="H71" s="118" t="s">
        <v>639</v>
      </c>
      <c r="I71" s="70" t="s">
        <v>519</v>
      </c>
      <c r="J71" s="63"/>
      <c r="K71" s="68">
        <v>10</v>
      </c>
      <c r="M71" s="57">
        <v>15</v>
      </c>
      <c r="N71" s="58">
        <v>15</v>
      </c>
      <c r="O71" s="59">
        <v>15</v>
      </c>
      <c r="Q71" s="98">
        <f ca="1">CalculateInvestmentPerFoot(Assesment!$D$50,$H71,$I71,$M71:$O71,$K71,Assesment!$D$28,$F71)</f>
        <v>440</v>
      </c>
    </row>
    <row r="72" spans="2:17" x14ac:dyDescent="0.25">
      <c r="Q72" s="64"/>
    </row>
    <row r="73" spans="2:17" ht="15.75" thickBot="1" x14ac:dyDescent="0.3">
      <c r="M73" s="85"/>
      <c r="N73" s="85"/>
      <c r="O73" s="85"/>
      <c r="Q73" s="100">
        <f ca="1">SUM(Q60:Q72)</f>
        <v>3140</v>
      </c>
    </row>
    <row r="74" spans="2:17" ht="15.75" thickTop="1" x14ac:dyDescent="0.25">
      <c r="J74"/>
    </row>
    <row r="75" spans="2:17" x14ac:dyDescent="0.25">
      <c r="J75"/>
      <c r="Q75" s="9"/>
    </row>
    <row r="82" spans="4:15" x14ac:dyDescent="0.25">
      <c r="D82" s="13"/>
      <c r="J82"/>
      <c r="M82"/>
      <c r="N82"/>
      <c r="O82"/>
    </row>
    <row r="83" spans="4:15" x14ac:dyDescent="0.25">
      <c r="D83" s="13"/>
      <c r="J83"/>
      <c r="M83"/>
      <c r="N83"/>
      <c r="O83"/>
    </row>
    <row r="84" spans="4:15" x14ac:dyDescent="0.25">
      <c r="D84" s="13"/>
      <c r="J84"/>
      <c r="M84"/>
      <c r="N84"/>
      <c r="O84"/>
    </row>
    <row r="85" spans="4:15" x14ac:dyDescent="0.25">
      <c r="J85"/>
      <c r="M85"/>
      <c r="N85"/>
      <c r="O85"/>
    </row>
    <row r="86" spans="4:15" x14ac:dyDescent="0.25">
      <c r="J86"/>
      <c r="M86"/>
      <c r="N86"/>
      <c r="O86"/>
    </row>
    <row r="87" spans="4:15" x14ac:dyDescent="0.25">
      <c r="J87"/>
      <c r="M87"/>
      <c r="N87"/>
      <c r="O87"/>
    </row>
    <row r="88" spans="4:15" x14ac:dyDescent="0.25">
      <c r="J88"/>
      <c r="M88"/>
      <c r="N88"/>
      <c r="O88"/>
    </row>
    <row r="89" spans="4:15" x14ac:dyDescent="0.25">
      <c r="J89"/>
      <c r="M89"/>
      <c r="N89"/>
      <c r="O89"/>
    </row>
    <row r="90" spans="4:15" x14ac:dyDescent="0.25">
      <c r="E90"/>
      <c r="F90"/>
      <c r="J90"/>
      <c r="K90"/>
      <c r="M90"/>
      <c r="N90"/>
      <c r="O90"/>
    </row>
    <row r="91" spans="4:15" x14ac:dyDescent="0.25">
      <c r="E91"/>
      <c r="F91"/>
      <c r="J91"/>
      <c r="K91"/>
      <c r="M91"/>
      <c r="N91"/>
      <c r="O91"/>
    </row>
    <row r="92" spans="4:15" x14ac:dyDescent="0.25">
      <c r="E92"/>
      <c r="F92"/>
      <c r="J92"/>
      <c r="K92"/>
      <c r="M92"/>
      <c r="N92"/>
      <c r="O92"/>
    </row>
    <row r="93" spans="4:15" x14ac:dyDescent="0.25">
      <c r="E93"/>
      <c r="F93"/>
      <c r="J93"/>
      <c r="K93"/>
      <c r="M93"/>
      <c r="N93"/>
      <c r="O93"/>
    </row>
    <row r="94" spans="4:15" x14ac:dyDescent="0.25">
      <c r="E94"/>
      <c r="F94"/>
      <c r="J94"/>
      <c r="K94"/>
      <c r="M94"/>
      <c r="N94"/>
      <c r="O94"/>
    </row>
    <row r="95" spans="4:15" x14ac:dyDescent="0.25">
      <c r="E95"/>
      <c r="F95"/>
      <c r="J95"/>
      <c r="K95"/>
      <c r="M95"/>
      <c r="N95"/>
      <c r="O95"/>
    </row>
    <row r="96" spans="4:15" x14ac:dyDescent="0.25">
      <c r="E96"/>
      <c r="F96"/>
      <c r="J96"/>
      <c r="K96"/>
      <c r="M96"/>
      <c r="N96"/>
      <c r="O96"/>
    </row>
  </sheetData>
  <conditionalFormatting sqref="Q35:Q40 Q42:Q44 Q46:Q48 Q54">
    <cfRule type="cellIs" dxfId="225" priority="892" operator="equal">
      <formula>"REQUIRED"</formula>
    </cfRule>
  </conditionalFormatting>
  <conditionalFormatting sqref="H14:H15 H32:H34">
    <cfRule type="cellIs" dxfId="224" priority="738" operator="equal">
      <formula>"Unknown"</formula>
    </cfRule>
    <cfRule type="cellIs" dxfId="223" priority="891" operator="equal">
      <formula>"Good"</formula>
    </cfRule>
    <cfRule type="cellIs" dxfId="222" priority="899" operator="equal">
      <formula>"Repair"</formula>
    </cfRule>
    <cfRule type="cellIs" dxfId="221" priority="902" operator="equal">
      <formula>"Replace"</formula>
    </cfRule>
    <cfRule type="cellIs" dxfId="220" priority="903" operator="equal">
      <formula>"Improve"</formula>
    </cfRule>
    <cfRule type="cellIs" dxfId="219" priority="904" operator="equal">
      <formula>"Missing"</formula>
    </cfRule>
    <cfRule type="cellIs" dxfId="218" priority="905" operator="equal">
      <formula>"Dispose"</formula>
    </cfRule>
    <cfRule type="cellIs" dxfId="217" priority="906" operator="equal">
      <formula>"Ignore"</formula>
    </cfRule>
  </conditionalFormatting>
  <conditionalFormatting sqref="H16 H20">
    <cfRule type="cellIs" dxfId="216" priority="508" operator="equal">
      <formula>"Unknown"</formula>
    </cfRule>
    <cfRule type="cellIs" dxfId="215" priority="530" operator="equal">
      <formula>"Good"</formula>
    </cfRule>
    <cfRule type="cellIs" dxfId="214" priority="531" operator="equal">
      <formula>"Repair"</formula>
    </cfRule>
    <cfRule type="cellIs" dxfId="213" priority="532" operator="equal">
      <formula>"Replace"</formula>
    </cfRule>
    <cfRule type="cellIs" dxfId="212" priority="533" operator="equal">
      <formula>"Improve"</formula>
    </cfRule>
    <cfRule type="cellIs" dxfId="211" priority="534" operator="equal">
      <formula>"Missing"</formula>
    </cfRule>
    <cfRule type="cellIs" dxfId="210" priority="535" operator="equal">
      <formula>"Dispose"</formula>
    </cfRule>
    <cfRule type="cellIs" dxfId="209" priority="536" operator="equal">
      <formula>"Ignore"</formula>
    </cfRule>
  </conditionalFormatting>
  <conditionalFormatting sqref="Q17:Q19">
    <cfRule type="cellIs" dxfId="208" priority="458" operator="equal">
      <formula>"REQUIRED"</formula>
    </cfRule>
  </conditionalFormatting>
  <conditionalFormatting sqref="Q21:Q27 Q29">
    <cfRule type="cellIs" dxfId="207" priority="457" operator="equal">
      <formula>"REQUIRED"</formula>
    </cfRule>
  </conditionalFormatting>
  <conditionalFormatting sqref="H28">
    <cfRule type="cellIs" dxfId="206" priority="449" operator="equal">
      <formula>"Unknown"</formula>
    </cfRule>
    <cfRule type="cellIs" dxfId="205" priority="450" operator="equal">
      <formula>"Good"</formula>
    </cfRule>
    <cfRule type="cellIs" dxfId="204" priority="451" operator="equal">
      <formula>"Repair"</formula>
    </cfRule>
    <cfRule type="cellIs" dxfId="203" priority="452" operator="equal">
      <formula>"Replace"</formula>
    </cfRule>
    <cfRule type="cellIs" dxfId="202" priority="453" operator="equal">
      <formula>"Improve"</formula>
    </cfRule>
    <cfRule type="cellIs" dxfId="201" priority="454" operator="equal">
      <formula>"Missing"</formula>
    </cfRule>
    <cfRule type="cellIs" dxfId="200" priority="455" operator="equal">
      <formula>"Dispose"</formula>
    </cfRule>
    <cfRule type="cellIs" dxfId="199" priority="456" operator="equal">
      <formula>"Ignore"</formula>
    </cfRule>
  </conditionalFormatting>
  <conditionalFormatting sqref="H52">
    <cfRule type="cellIs" dxfId="198" priority="441" operator="equal">
      <formula>"Unknown"</formula>
    </cfRule>
    <cfRule type="cellIs" dxfId="197" priority="442" operator="equal">
      <formula>"Good"</formula>
    </cfRule>
    <cfRule type="cellIs" dxfId="196" priority="443" operator="equal">
      <formula>"Repair"</formula>
    </cfRule>
    <cfRule type="cellIs" dxfId="195" priority="444" operator="equal">
      <formula>"Replace"</formula>
    </cfRule>
    <cfRule type="cellIs" dxfId="194" priority="445" operator="equal">
      <formula>"Improve"</formula>
    </cfRule>
    <cfRule type="cellIs" dxfId="193" priority="446" operator="equal">
      <formula>"Missing"</formula>
    </cfRule>
    <cfRule type="cellIs" dxfId="192" priority="447" operator="equal">
      <formula>"Dispose"</formula>
    </cfRule>
    <cfRule type="cellIs" dxfId="191" priority="448" operator="equal">
      <formula>"Ignore"</formula>
    </cfRule>
  </conditionalFormatting>
  <conditionalFormatting sqref="H20 H28">
    <cfRule type="cellIs" dxfId="190" priority="432" operator="equal">
      <formula>"Unknown"</formula>
    </cfRule>
    <cfRule type="cellIs" dxfId="189" priority="433" operator="equal">
      <formula>"Good"</formula>
    </cfRule>
    <cfRule type="cellIs" dxfId="188" priority="434" operator="equal">
      <formula>"Repair"</formula>
    </cfRule>
    <cfRule type="cellIs" dxfId="187" priority="435" operator="equal">
      <formula>"Replace"</formula>
    </cfRule>
    <cfRule type="cellIs" dxfId="186" priority="436" operator="equal">
      <formula>"Improve"</formula>
    </cfRule>
    <cfRule type="cellIs" dxfId="185" priority="437" operator="equal">
      <formula>"Install"</formula>
    </cfRule>
    <cfRule type="cellIs" dxfId="184" priority="438" operator="equal">
      <formula>"Missing"</formula>
    </cfRule>
    <cfRule type="cellIs" dxfId="183" priority="439" operator="equal">
      <formula>"Dispose"</formula>
    </cfRule>
    <cfRule type="cellIs" dxfId="182" priority="440" operator="equal">
      <formula>"Ignore"</formula>
    </cfRule>
  </conditionalFormatting>
  <conditionalFormatting sqref="H20 H28">
    <cfRule type="containsBlanks" priority="431">
      <formula>LEN(TRIM(H20))=0</formula>
    </cfRule>
  </conditionalFormatting>
  <conditionalFormatting sqref="H41 H45">
    <cfRule type="cellIs" dxfId="181" priority="422" operator="equal">
      <formula>"Unknown"</formula>
    </cfRule>
    <cfRule type="cellIs" dxfId="180" priority="423" operator="equal">
      <formula>"Good"</formula>
    </cfRule>
    <cfRule type="cellIs" dxfId="179" priority="424" operator="equal">
      <formula>"Repair"</formula>
    </cfRule>
    <cfRule type="cellIs" dxfId="178" priority="425" operator="equal">
      <formula>"Replace"</formula>
    </cfRule>
    <cfRule type="cellIs" dxfId="177" priority="426" operator="equal">
      <formula>"Improve"</formula>
    </cfRule>
    <cfRule type="cellIs" dxfId="176" priority="427" operator="equal">
      <formula>"Install"</formula>
    </cfRule>
    <cfRule type="cellIs" dxfId="175" priority="428" operator="equal">
      <formula>"Missing"</formula>
    </cfRule>
    <cfRule type="cellIs" dxfId="174" priority="429" operator="equal">
      <formula>"Dispose"</formula>
    </cfRule>
    <cfRule type="cellIs" dxfId="173" priority="430" operator="equal">
      <formula>"Ignore"</formula>
    </cfRule>
  </conditionalFormatting>
  <conditionalFormatting sqref="H41 H45">
    <cfRule type="containsBlanks" priority="421">
      <formula>LEN(TRIM(H41))=0</formula>
    </cfRule>
  </conditionalFormatting>
  <conditionalFormatting sqref="Q61">
    <cfRule type="cellIs" dxfId="172" priority="400" operator="equal">
      <formula>"REQUIRED"</formula>
    </cfRule>
  </conditionalFormatting>
  <conditionalFormatting sqref="H58">
    <cfRule type="cellIs" dxfId="171" priority="392" operator="equal">
      <formula>"Unknown"</formula>
    </cfRule>
    <cfRule type="cellIs" dxfId="170" priority="393" operator="equal">
      <formula>"Good"</formula>
    </cfRule>
    <cfRule type="cellIs" dxfId="169" priority="394" operator="equal">
      <formula>"Repair"</formula>
    </cfRule>
    <cfRule type="cellIs" dxfId="168" priority="395" operator="equal">
      <formula>"Replace"</formula>
    </cfRule>
    <cfRule type="cellIs" dxfId="167" priority="396" operator="equal">
      <formula>"Improve"</formula>
    </cfRule>
    <cfRule type="cellIs" dxfId="166" priority="397" operator="equal">
      <formula>"Missing"</formula>
    </cfRule>
    <cfRule type="cellIs" dxfId="165" priority="398" operator="equal">
      <formula>"Dispose"</formula>
    </cfRule>
    <cfRule type="cellIs" dxfId="164" priority="399" operator="equal">
      <formula>"Ignore"</formula>
    </cfRule>
  </conditionalFormatting>
  <conditionalFormatting sqref="Q60">
    <cfRule type="cellIs" dxfId="163" priority="381" operator="equal">
      <formula>"REQUIRED"</formula>
    </cfRule>
  </conditionalFormatting>
  <conditionalFormatting sqref="Q62">
    <cfRule type="cellIs" dxfId="162" priority="370" operator="equal">
      <formula>"REQUIRED"</formula>
    </cfRule>
  </conditionalFormatting>
  <conditionalFormatting sqref="Q64:Q66 Q68:Q69">
    <cfRule type="cellIs" dxfId="161" priority="359" operator="equal">
      <formula>"REQUIRED"</formula>
    </cfRule>
  </conditionalFormatting>
  <conditionalFormatting sqref="Q71">
    <cfRule type="cellIs" dxfId="160" priority="328" operator="equal">
      <formula>"REQUIRED"</formula>
    </cfRule>
  </conditionalFormatting>
  <conditionalFormatting sqref="H17:H19">
    <cfRule type="cellIs" dxfId="159" priority="179" operator="equal">
      <formula>"Unknown"</formula>
    </cfRule>
    <cfRule type="cellIs" dxfId="158" priority="180" operator="equal">
      <formula>"Good"</formula>
    </cfRule>
    <cfRule type="cellIs" dxfId="157" priority="181" operator="equal">
      <formula>"Repair"</formula>
    </cfRule>
    <cfRule type="cellIs" dxfId="156" priority="182" operator="equal">
      <formula>"Replace"</formula>
    </cfRule>
    <cfRule type="cellIs" dxfId="155" priority="183" operator="equal">
      <formula>"Improve"</formula>
    </cfRule>
    <cfRule type="cellIs" dxfId="154" priority="184" operator="equal">
      <formula>"Install"</formula>
    </cfRule>
    <cfRule type="cellIs" dxfId="153" priority="185" operator="equal">
      <formula>"Missing"</formula>
    </cfRule>
    <cfRule type="cellIs" dxfId="152" priority="186" operator="equal">
      <formula>"Dispose"</formula>
    </cfRule>
    <cfRule type="cellIs" dxfId="151" priority="187" operator="equal">
      <formula>"Ignore"</formula>
    </cfRule>
  </conditionalFormatting>
  <conditionalFormatting sqref="H17:H19">
    <cfRule type="containsBlanks" priority="178">
      <formula>LEN(TRIM(H17))=0</formula>
    </cfRule>
  </conditionalFormatting>
  <conditionalFormatting sqref="H17:H19">
    <cfRule type="cellIs" dxfId="150" priority="177" operator="equal">
      <formula>"N/A"</formula>
    </cfRule>
  </conditionalFormatting>
  <conditionalFormatting sqref="H21:H27">
    <cfRule type="cellIs" dxfId="149" priority="168" operator="equal">
      <formula>"Unknown"</formula>
    </cfRule>
    <cfRule type="cellIs" dxfId="148" priority="169" operator="equal">
      <formula>"Good"</formula>
    </cfRule>
    <cfRule type="cellIs" dxfId="147" priority="170" operator="equal">
      <formula>"Repair"</formula>
    </cfRule>
    <cfRule type="cellIs" dxfId="146" priority="171" operator="equal">
      <formula>"Replace"</formula>
    </cfRule>
    <cfRule type="cellIs" dxfId="145" priority="172" operator="equal">
      <formula>"Improve"</formula>
    </cfRule>
    <cfRule type="cellIs" dxfId="144" priority="173" operator="equal">
      <formula>"Install"</formula>
    </cfRule>
    <cfRule type="cellIs" dxfId="143" priority="174" operator="equal">
      <formula>"Missing"</formula>
    </cfRule>
    <cfRule type="cellIs" dxfId="142" priority="175" operator="equal">
      <formula>"Dispose"</formula>
    </cfRule>
    <cfRule type="cellIs" dxfId="141" priority="176" operator="equal">
      <formula>"Ignore"</formula>
    </cfRule>
  </conditionalFormatting>
  <conditionalFormatting sqref="H21:H27">
    <cfRule type="containsBlanks" priority="167">
      <formula>LEN(TRIM(H21))=0</formula>
    </cfRule>
  </conditionalFormatting>
  <conditionalFormatting sqref="H21:H27">
    <cfRule type="cellIs" dxfId="140" priority="166" operator="equal">
      <formula>"N/A"</formula>
    </cfRule>
  </conditionalFormatting>
  <conditionalFormatting sqref="H35:H40">
    <cfRule type="cellIs" dxfId="139" priority="146" operator="equal">
      <formula>"Unknown"</formula>
    </cfRule>
    <cfRule type="cellIs" dxfId="138" priority="147" operator="equal">
      <formula>"Good"</formula>
    </cfRule>
    <cfRule type="cellIs" dxfId="137" priority="148" operator="equal">
      <formula>"Repair"</formula>
    </cfRule>
    <cfRule type="cellIs" dxfId="136" priority="149" operator="equal">
      <formula>"Replace"</formula>
    </cfRule>
    <cfRule type="cellIs" dxfId="135" priority="150" operator="equal">
      <formula>"Improve"</formula>
    </cfRule>
    <cfRule type="cellIs" dxfId="134" priority="151" operator="equal">
      <formula>"Install"</formula>
    </cfRule>
    <cfRule type="cellIs" dxfId="133" priority="152" operator="equal">
      <formula>"Missing"</formula>
    </cfRule>
    <cfRule type="cellIs" dxfId="132" priority="153" operator="equal">
      <formula>"Dispose"</formula>
    </cfRule>
    <cfRule type="cellIs" dxfId="131" priority="154" operator="equal">
      <formula>"Ignore"</formula>
    </cfRule>
  </conditionalFormatting>
  <conditionalFormatting sqref="H35:H40">
    <cfRule type="containsBlanks" priority="145">
      <formula>LEN(TRIM(H35))=0</formula>
    </cfRule>
  </conditionalFormatting>
  <conditionalFormatting sqref="H35:H40">
    <cfRule type="cellIs" dxfId="130" priority="144" operator="equal">
      <formula>"N/A"</formula>
    </cfRule>
  </conditionalFormatting>
  <conditionalFormatting sqref="H42:H44">
    <cfRule type="cellIs" dxfId="129" priority="135" operator="equal">
      <formula>"Unknown"</formula>
    </cfRule>
    <cfRule type="cellIs" dxfId="128" priority="136" operator="equal">
      <formula>"Good"</formula>
    </cfRule>
    <cfRule type="cellIs" dxfId="127" priority="137" operator="equal">
      <formula>"Repair"</formula>
    </cfRule>
    <cfRule type="cellIs" dxfId="126" priority="138" operator="equal">
      <formula>"Replace"</formula>
    </cfRule>
    <cfRule type="cellIs" dxfId="125" priority="139" operator="equal">
      <formula>"Improve"</formula>
    </cfRule>
    <cfRule type="cellIs" dxfId="124" priority="140" operator="equal">
      <formula>"Install"</formula>
    </cfRule>
    <cfRule type="cellIs" dxfId="123" priority="141" operator="equal">
      <formula>"Missing"</formula>
    </cfRule>
    <cfRule type="cellIs" dxfId="122" priority="142" operator="equal">
      <formula>"Dispose"</formula>
    </cfRule>
    <cfRule type="cellIs" dxfId="121" priority="143" operator="equal">
      <formula>"Ignore"</formula>
    </cfRule>
  </conditionalFormatting>
  <conditionalFormatting sqref="H42:H44">
    <cfRule type="containsBlanks" priority="134">
      <formula>LEN(TRIM(H42))=0</formula>
    </cfRule>
  </conditionalFormatting>
  <conditionalFormatting sqref="H42:H44">
    <cfRule type="cellIs" dxfId="120" priority="133" operator="equal">
      <formula>"N/A"</formula>
    </cfRule>
  </conditionalFormatting>
  <conditionalFormatting sqref="H48">
    <cfRule type="cellIs" dxfId="119" priority="124" operator="equal">
      <formula>"Unknown"</formula>
    </cfRule>
    <cfRule type="cellIs" dxfId="118" priority="125" operator="equal">
      <formula>"Good"</formula>
    </cfRule>
    <cfRule type="cellIs" dxfId="117" priority="126" operator="equal">
      <formula>"Repair"</formula>
    </cfRule>
    <cfRule type="cellIs" dxfId="116" priority="127" operator="equal">
      <formula>"Replace"</formula>
    </cfRule>
    <cfRule type="cellIs" dxfId="115" priority="128" operator="equal">
      <formula>"Improve"</formula>
    </cfRule>
    <cfRule type="cellIs" dxfId="114" priority="129" operator="equal">
      <formula>"Install"</formula>
    </cfRule>
    <cfRule type="cellIs" dxfId="113" priority="130" operator="equal">
      <formula>"Missing"</formula>
    </cfRule>
    <cfRule type="cellIs" dxfId="112" priority="131" operator="equal">
      <formula>"Dispose"</formula>
    </cfRule>
    <cfRule type="cellIs" dxfId="111" priority="132" operator="equal">
      <formula>"Ignore"</formula>
    </cfRule>
  </conditionalFormatting>
  <conditionalFormatting sqref="H48">
    <cfRule type="containsBlanks" priority="123">
      <formula>LEN(TRIM(H48))=0</formula>
    </cfRule>
  </conditionalFormatting>
  <conditionalFormatting sqref="H48">
    <cfRule type="cellIs" dxfId="110" priority="122" operator="equal">
      <formula>"N/A"</formula>
    </cfRule>
  </conditionalFormatting>
  <conditionalFormatting sqref="H54">
    <cfRule type="cellIs" dxfId="109" priority="113" operator="equal">
      <formula>"Unknown"</formula>
    </cfRule>
    <cfRule type="cellIs" dxfId="108" priority="114" operator="equal">
      <formula>"Good"</formula>
    </cfRule>
    <cfRule type="cellIs" dxfId="107" priority="115" operator="equal">
      <formula>"Repair"</formula>
    </cfRule>
    <cfRule type="cellIs" dxfId="106" priority="116" operator="equal">
      <formula>"Replace"</formula>
    </cfRule>
    <cfRule type="cellIs" dxfId="105" priority="117" operator="equal">
      <formula>"Improve"</formula>
    </cfRule>
    <cfRule type="cellIs" dxfId="104" priority="118" operator="equal">
      <formula>"Install"</formula>
    </cfRule>
    <cfRule type="cellIs" dxfId="103" priority="119" operator="equal">
      <formula>"Missing"</formula>
    </cfRule>
    <cfRule type="cellIs" dxfId="102" priority="120" operator="equal">
      <formula>"Dispose"</formula>
    </cfRule>
    <cfRule type="cellIs" dxfId="101" priority="121" operator="equal">
      <formula>"Ignore"</formula>
    </cfRule>
  </conditionalFormatting>
  <conditionalFormatting sqref="H54">
    <cfRule type="containsBlanks" priority="112">
      <formula>LEN(TRIM(H54))=0</formula>
    </cfRule>
  </conditionalFormatting>
  <conditionalFormatting sqref="H54">
    <cfRule type="cellIs" dxfId="100" priority="111" operator="equal">
      <formula>"N/A"</formula>
    </cfRule>
  </conditionalFormatting>
  <conditionalFormatting sqref="H60:H62">
    <cfRule type="cellIs" dxfId="99" priority="102" operator="equal">
      <formula>"Unknown"</formula>
    </cfRule>
    <cfRule type="cellIs" dxfId="98" priority="103" operator="equal">
      <formula>"Good"</formula>
    </cfRule>
    <cfRule type="cellIs" dxfId="97" priority="104" operator="equal">
      <formula>"Repair"</formula>
    </cfRule>
    <cfRule type="cellIs" dxfId="96" priority="105" operator="equal">
      <formula>"Replace"</formula>
    </cfRule>
    <cfRule type="cellIs" dxfId="95" priority="106" operator="equal">
      <formula>"Improve"</formula>
    </cfRule>
    <cfRule type="cellIs" dxfId="94" priority="107" operator="equal">
      <formula>"Install"</formula>
    </cfRule>
    <cfRule type="cellIs" dxfId="93" priority="108" operator="equal">
      <formula>"Missing"</formula>
    </cfRule>
    <cfRule type="cellIs" dxfId="92" priority="109" operator="equal">
      <formula>"Dispose"</formula>
    </cfRule>
    <cfRule type="cellIs" dxfId="91" priority="110" operator="equal">
      <formula>"Ignore"</formula>
    </cfRule>
  </conditionalFormatting>
  <conditionalFormatting sqref="H60:H62">
    <cfRule type="containsBlanks" priority="101">
      <formula>LEN(TRIM(H60))=0</formula>
    </cfRule>
  </conditionalFormatting>
  <conditionalFormatting sqref="H60:H62">
    <cfRule type="cellIs" dxfId="90" priority="100" operator="equal">
      <formula>"N/A"</formula>
    </cfRule>
  </conditionalFormatting>
  <conditionalFormatting sqref="H64:H66">
    <cfRule type="cellIs" dxfId="89" priority="91" operator="equal">
      <formula>"Unknown"</formula>
    </cfRule>
    <cfRule type="cellIs" dxfId="88" priority="92" operator="equal">
      <formula>"Good"</formula>
    </cfRule>
    <cfRule type="cellIs" dxfId="87" priority="93" operator="equal">
      <formula>"Repair"</formula>
    </cfRule>
    <cfRule type="cellIs" dxfId="86" priority="94" operator="equal">
      <formula>"Replace"</formula>
    </cfRule>
    <cfRule type="cellIs" dxfId="85" priority="95" operator="equal">
      <formula>"Improve"</formula>
    </cfRule>
    <cfRule type="cellIs" dxfId="84" priority="96" operator="equal">
      <formula>"Install"</formula>
    </cfRule>
    <cfRule type="cellIs" dxfId="83" priority="97" operator="equal">
      <formula>"Missing"</formula>
    </cfRule>
    <cfRule type="cellIs" dxfId="82" priority="98" operator="equal">
      <formula>"Dispose"</formula>
    </cfRule>
    <cfRule type="cellIs" dxfId="81" priority="99" operator="equal">
      <formula>"Ignore"</formula>
    </cfRule>
  </conditionalFormatting>
  <conditionalFormatting sqref="H64:H66">
    <cfRule type="containsBlanks" priority="90">
      <formula>LEN(TRIM(H64))=0</formula>
    </cfRule>
  </conditionalFormatting>
  <conditionalFormatting sqref="H64:H66">
    <cfRule type="cellIs" dxfId="80" priority="89" operator="equal">
      <formula>"N/A"</formula>
    </cfRule>
  </conditionalFormatting>
  <conditionalFormatting sqref="H68:H69">
    <cfRule type="cellIs" dxfId="79" priority="80" operator="equal">
      <formula>"Unknown"</formula>
    </cfRule>
    <cfRule type="cellIs" dxfId="78" priority="81" operator="equal">
      <formula>"Good"</formula>
    </cfRule>
    <cfRule type="cellIs" dxfId="77" priority="82" operator="equal">
      <formula>"Repair"</formula>
    </cfRule>
    <cfRule type="cellIs" dxfId="76" priority="83" operator="equal">
      <formula>"Replace"</formula>
    </cfRule>
    <cfRule type="cellIs" dxfId="75" priority="84" operator="equal">
      <formula>"Improve"</formula>
    </cfRule>
    <cfRule type="cellIs" dxfId="74" priority="85" operator="equal">
      <formula>"Install"</formula>
    </cfRule>
    <cfRule type="cellIs" dxfId="73" priority="86" operator="equal">
      <formula>"Missing"</formula>
    </cfRule>
    <cfRule type="cellIs" dxfId="72" priority="87" operator="equal">
      <formula>"Dispose"</formula>
    </cfRule>
    <cfRule type="cellIs" dxfId="71" priority="88" operator="equal">
      <formula>"Ignore"</formula>
    </cfRule>
  </conditionalFormatting>
  <conditionalFormatting sqref="H68:H69">
    <cfRule type="containsBlanks" priority="79">
      <formula>LEN(TRIM(H68))=0</formula>
    </cfRule>
  </conditionalFormatting>
  <conditionalFormatting sqref="H68:H69">
    <cfRule type="cellIs" dxfId="70" priority="78" operator="equal">
      <formula>"N/A"</formula>
    </cfRule>
  </conditionalFormatting>
  <conditionalFormatting sqref="H71">
    <cfRule type="cellIs" dxfId="69" priority="69" operator="equal">
      <formula>"Unknown"</formula>
    </cfRule>
    <cfRule type="cellIs" dxfId="68" priority="70" operator="equal">
      <formula>"Good"</formula>
    </cfRule>
    <cfRule type="cellIs" dxfId="67" priority="71" operator="equal">
      <formula>"Repair"</formula>
    </cfRule>
    <cfRule type="cellIs" dxfId="66" priority="72" operator="equal">
      <formula>"Replace"</formula>
    </cfRule>
    <cfRule type="cellIs" dxfId="65" priority="73" operator="equal">
      <formula>"Improve"</formula>
    </cfRule>
    <cfRule type="cellIs" dxfId="64" priority="74" operator="equal">
      <formula>"Install"</formula>
    </cfRule>
    <cfRule type="cellIs" dxfId="63" priority="75" operator="equal">
      <formula>"Missing"</formula>
    </cfRule>
    <cfRule type="cellIs" dxfId="62" priority="76" operator="equal">
      <formula>"Dispose"</formula>
    </cfRule>
    <cfRule type="cellIs" dxfId="61" priority="77" operator="equal">
      <formula>"Ignore"</formula>
    </cfRule>
  </conditionalFormatting>
  <conditionalFormatting sqref="H71">
    <cfRule type="containsBlanks" priority="68">
      <formula>LEN(TRIM(H71))=0</formula>
    </cfRule>
  </conditionalFormatting>
  <conditionalFormatting sqref="H71">
    <cfRule type="cellIs" dxfId="60" priority="67" operator="equal">
      <formula>"N/A"</formula>
    </cfRule>
  </conditionalFormatting>
  <conditionalFormatting sqref="H2:H8 H10:H11">
    <cfRule type="cellIs" dxfId="59" priority="58" operator="equal">
      <formula>"Unknown"</formula>
    </cfRule>
    <cfRule type="cellIs" dxfId="58" priority="59" operator="equal">
      <formula>"Good"</formula>
    </cfRule>
    <cfRule type="cellIs" dxfId="57" priority="60" operator="equal">
      <formula>"Repair"</formula>
    </cfRule>
    <cfRule type="cellIs" dxfId="56" priority="61" operator="equal">
      <formula>"Replace"</formula>
    </cfRule>
    <cfRule type="cellIs" dxfId="55" priority="62" operator="equal">
      <formula>"Improve"</formula>
    </cfRule>
    <cfRule type="cellIs" dxfId="54" priority="63" operator="equal">
      <formula>"Install"</formula>
    </cfRule>
    <cfRule type="cellIs" dxfId="53" priority="64" operator="equal">
      <formula>"Missing"</formula>
    </cfRule>
    <cfRule type="cellIs" dxfId="52" priority="65" operator="equal">
      <formula>"Dispose"</formula>
    </cfRule>
    <cfRule type="cellIs" dxfId="51" priority="66" operator="equal">
      <formula>"Ignore"</formula>
    </cfRule>
  </conditionalFormatting>
  <conditionalFormatting sqref="H2:H8 H10:H11">
    <cfRule type="containsBlanks" priority="57">
      <formula>LEN(TRIM(H2))=0</formula>
    </cfRule>
  </conditionalFormatting>
  <conditionalFormatting sqref="H2:H8 H10:H11">
    <cfRule type="cellIs" dxfId="50" priority="56" operator="equal">
      <formula>"N/A"</formula>
    </cfRule>
  </conditionalFormatting>
  <conditionalFormatting sqref="H9">
    <cfRule type="cellIs" dxfId="49" priority="47" operator="equal">
      <formula>"Unknown"</formula>
    </cfRule>
    <cfRule type="cellIs" dxfId="48" priority="48" operator="equal">
      <formula>"Good"</formula>
    </cfRule>
    <cfRule type="cellIs" dxfId="47" priority="49" operator="equal">
      <formula>"Repair"</formula>
    </cfRule>
    <cfRule type="cellIs" dxfId="46" priority="50" operator="equal">
      <formula>"Replace"</formula>
    </cfRule>
    <cfRule type="cellIs" dxfId="45" priority="51" operator="equal">
      <formula>"Improve"</formula>
    </cfRule>
    <cfRule type="cellIs" dxfId="44" priority="52" operator="equal">
      <formula>"Install"</formula>
    </cfRule>
    <cfRule type="cellIs" dxfId="43" priority="53" operator="equal">
      <formula>"Missing"</formula>
    </cfRule>
    <cfRule type="cellIs" dxfId="42" priority="54" operator="equal">
      <formula>"Dispose"</formula>
    </cfRule>
    <cfRule type="cellIs" dxfId="41" priority="55" operator="equal">
      <formula>"Ignore"</formula>
    </cfRule>
  </conditionalFormatting>
  <conditionalFormatting sqref="H9">
    <cfRule type="containsBlanks" priority="46">
      <formula>LEN(TRIM(H9))=0</formula>
    </cfRule>
  </conditionalFormatting>
  <conditionalFormatting sqref="H9">
    <cfRule type="cellIs" dxfId="40" priority="45" operator="equal">
      <formula>"N/A"</formula>
    </cfRule>
  </conditionalFormatting>
  <conditionalFormatting sqref="H9">
    <cfRule type="cellIs" dxfId="39" priority="36" operator="equal">
      <formula>"Unknown"</formula>
    </cfRule>
    <cfRule type="cellIs" dxfId="38" priority="37" operator="equal">
      <formula>"Good"</formula>
    </cfRule>
    <cfRule type="cellIs" dxfId="37" priority="38" operator="equal">
      <formula>"Repair"</formula>
    </cfRule>
    <cfRule type="cellIs" dxfId="36" priority="39" operator="equal">
      <formula>"Replace"</formula>
    </cfRule>
    <cfRule type="cellIs" dxfId="35" priority="40" operator="equal">
      <formula>"Improve"</formula>
    </cfRule>
    <cfRule type="cellIs" dxfId="34" priority="41" operator="equal">
      <formula>"Install"</formula>
    </cfRule>
    <cfRule type="cellIs" dxfId="33" priority="42" operator="equal">
      <formula>"Missing"</formula>
    </cfRule>
    <cfRule type="cellIs" dxfId="32" priority="43" operator="equal">
      <formula>"Dispose"</formula>
    </cfRule>
    <cfRule type="cellIs" dxfId="31" priority="44" operator="equal">
      <formula>"Ignore"</formula>
    </cfRule>
  </conditionalFormatting>
  <conditionalFormatting sqref="H9">
    <cfRule type="containsBlanks" priority="35">
      <formula>LEN(TRIM(H9))=0</formula>
    </cfRule>
  </conditionalFormatting>
  <conditionalFormatting sqref="H9">
    <cfRule type="cellIs" dxfId="30" priority="34" operator="equal">
      <formula>"N/A"</formula>
    </cfRule>
  </conditionalFormatting>
  <conditionalFormatting sqref="H29">
    <cfRule type="cellIs" dxfId="29" priority="25" operator="equal">
      <formula>"Unknown"</formula>
    </cfRule>
    <cfRule type="cellIs" dxfId="28" priority="26" operator="equal">
      <formula>"Good"</formula>
    </cfRule>
    <cfRule type="cellIs" dxfId="27" priority="27" operator="equal">
      <formula>"Repair"</formula>
    </cfRule>
    <cfRule type="cellIs" dxfId="26" priority="28" operator="equal">
      <formula>"Replace"</formula>
    </cfRule>
    <cfRule type="cellIs" dxfId="25" priority="29" operator="equal">
      <formula>"Improve"</formula>
    </cfRule>
    <cfRule type="cellIs" dxfId="24" priority="30" operator="equal">
      <formula>"Install"</formula>
    </cfRule>
    <cfRule type="cellIs" dxfId="23" priority="31" operator="equal">
      <formula>"Missing"</formula>
    </cfRule>
    <cfRule type="cellIs" dxfId="22" priority="32" operator="equal">
      <formula>"Dispose"</formula>
    </cfRule>
    <cfRule type="cellIs" dxfId="21" priority="33" operator="equal">
      <formula>"Ignore"</formula>
    </cfRule>
  </conditionalFormatting>
  <conditionalFormatting sqref="H29">
    <cfRule type="containsBlanks" priority="24">
      <formula>LEN(TRIM(H29))=0</formula>
    </cfRule>
  </conditionalFormatting>
  <conditionalFormatting sqref="H29">
    <cfRule type="cellIs" dxfId="20" priority="23" operator="equal">
      <formula>"N/A"</formula>
    </cfRule>
  </conditionalFormatting>
  <conditionalFormatting sqref="H46">
    <cfRule type="cellIs" dxfId="19" priority="14" operator="equal">
      <formula>"Unknown"</formula>
    </cfRule>
    <cfRule type="cellIs" dxfId="18" priority="15" operator="equal">
      <formula>"Good"</formula>
    </cfRule>
    <cfRule type="cellIs" dxfId="17" priority="16" operator="equal">
      <formula>"Repair"</formula>
    </cfRule>
    <cfRule type="cellIs" dxfId="16" priority="17" operator="equal">
      <formula>"Replace"</formula>
    </cfRule>
    <cfRule type="cellIs" dxfId="15" priority="18" operator="equal">
      <formula>"Improve"</formula>
    </cfRule>
    <cfRule type="cellIs" dxfId="14" priority="19" operator="equal">
      <formula>"Install"</formula>
    </cfRule>
    <cfRule type="cellIs" dxfId="13" priority="20" operator="equal">
      <formula>"Missing"</formula>
    </cfRule>
    <cfRule type="cellIs" dxfId="12" priority="21" operator="equal">
      <formula>"Dispose"</formula>
    </cfRule>
    <cfRule type="cellIs" dxfId="11" priority="22" operator="equal">
      <formula>"Ignore"</formula>
    </cfRule>
  </conditionalFormatting>
  <conditionalFormatting sqref="H46">
    <cfRule type="containsBlanks" priority="13">
      <formula>LEN(TRIM(H46))=0</formula>
    </cfRule>
  </conditionalFormatting>
  <conditionalFormatting sqref="H46">
    <cfRule type="cellIs" dxfId="10" priority="12" operator="equal">
      <formula>"N/A"</formula>
    </cfRule>
  </conditionalFormatting>
  <conditionalFormatting sqref="H47">
    <cfRule type="cellIs" dxfId="9" priority="3" operator="equal">
      <formula>"Unknown"</formula>
    </cfRule>
    <cfRule type="cellIs" dxfId="8" priority="4" operator="equal">
      <formula>"Good"</formula>
    </cfRule>
    <cfRule type="cellIs" dxfId="7" priority="5" operator="equal">
      <formula>"Repair"</formula>
    </cfRule>
    <cfRule type="cellIs" dxfId="6" priority="6" operator="equal">
      <formula>"Replace"</formula>
    </cfRule>
    <cfRule type="cellIs" dxfId="5" priority="7" operator="equal">
      <formula>"Improve"</formula>
    </cfRule>
    <cfRule type="cellIs" dxfId="4" priority="8" operator="equal">
      <formula>"Install"</formula>
    </cfRule>
    <cfRule type="cellIs" dxfId="3" priority="9" operator="equal">
      <formula>"Missing"</formula>
    </cfRule>
    <cfRule type="cellIs" dxfId="2" priority="10" operator="equal">
      <formula>"Dispose"</formula>
    </cfRule>
    <cfRule type="cellIs" dxfId="1" priority="11" operator="equal">
      <formula>"Ignore"</formula>
    </cfRule>
  </conditionalFormatting>
  <conditionalFormatting sqref="H47">
    <cfRule type="containsBlanks" priority="2">
      <formula>LEN(TRIM(H47))=0</formula>
    </cfRule>
  </conditionalFormatting>
  <conditionalFormatting sqref="H47">
    <cfRule type="cellIs" dxfId="0" priority="1" operator="equal">
      <formula>"N/A"</formula>
    </cfRule>
  </conditionalFormatting>
  <dataValidations count="1">
    <dataValidation type="list" allowBlank="1" showInputMessage="1" showErrorMessage="1" sqref="H21:H27 H2:H11 H35:H40 H29 H54 H68:H71 H42:H44 H17:H19 H60:H62 H64:H66 H46:H48" xr:uid="{8AAC39D7-CEA8-4DD3-8F06-BE297DB73EB9}">
      <formula1>ItemState</formula1>
    </dataValidation>
  </dataValidations>
  <pageMargins left="0.70866141732283472" right="0.70866141732283472" top="0.74803149606299213" bottom="0.74803149606299213" header="0.31496062992125984" footer="0.31496062992125984"/>
  <pageSetup paperSize="8" scale="26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474F-9A03-4444-BEA8-CD2CD4CCBA03}">
  <sheetPr codeName="Sheet2"/>
  <dimension ref="B1:K581"/>
  <sheetViews>
    <sheetView workbookViewId="0"/>
  </sheetViews>
  <sheetFormatPr defaultRowHeight="15" outlineLevelRow="1" x14ac:dyDescent="0.25"/>
  <cols>
    <col min="1" max="1" width="3.7109375" customWidth="1"/>
    <col min="2" max="2" width="3.7109375" style="13" customWidth="1"/>
    <col min="3" max="3" width="46.140625" style="13" customWidth="1"/>
    <col min="4" max="4" width="33.140625" style="39" customWidth="1"/>
    <col min="5" max="5" width="16.42578125" style="4" customWidth="1"/>
    <col min="6" max="6" width="33.5703125" style="48" customWidth="1"/>
    <col min="7" max="7" width="16.42578125" style="6" customWidth="1"/>
    <col min="8" max="8" width="33" style="48" customWidth="1"/>
    <col min="9" max="9" width="16.42578125" style="6" customWidth="1"/>
  </cols>
  <sheetData>
    <row r="1" spans="2:9" x14ac:dyDescent="0.25">
      <c r="D1" s="37"/>
      <c r="E1" s="8"/>
      <c r="F1" s="47"/>
      <c r="G1" s="8"/>
      <c r="H1" s="47"/>
      <c r="I1" s="8"/>
    </row>
    <row r="2" spans="2:9" s="2" customFormat="1" ht="24" customHeight="1" x14ac:dyDescent="0.25">
      <c r="B2" s="14"/>
      <c r="C2" s="14"/>
      <c r="D2" s="132" t="s">
        <v>102</v>
      </c>
      <c r="E2" s="133"/>
      <c r="F2" s="134" t="s">
        <v>103</v>
      </c>
      <c r="G2" s="135"/>
      <c r="H2" s="136" t="s">
        <v>301</v>
      </c>
      <c r="I2" s="137"/>
    </row>
    <row r="3" spans="2:9" x14ac:dyDescent="0.25">
      <c r="B3"/>
      <c r="D3" s="38"/>
      <c r="E3"/>
      <c r="F3" s="38"/>
      <c r="G3"/>
      <c r="H3" s="38"/>
      <c r="I3"/>
    </row>
    <row r="4" spans="2:9" x14ac:dyDescent="0.25">
      <c r="B4" s="20" t="s">
        <v>274</v>
      </c>
      <c r="C4" s="22"/>
      <c r="D4" s="21"/>
      <c r="E4" s="21"/>
      <c r="F4" s="21"/>
      <c r="G4" s="21"/>
      <c r="H4" s="21"/>
      <c r="I4" s="21"/>
    </row>
    <row r="5" spans="2:9" x14ac:dyDescent="0.25">
      <c r="D5" s="38"/>
      <c r="E5"/>
      <c r="F5" s="38"/>
      <c r="G5"/>
      <c r="H5" s="38"/>
      <c r="I5"/>
    </row>
    <row r="6" spans="2:9" x14ac:dyDescent="0.25">
      <c r="B6" s="16" t="s">
        <v>251</v>
      </c>
      <c r="C6" s="15"/>
      <c r="H6" s="55"/>
      <c r="I6" s="55"/>
    </row>
    <row r="7" spans="2:9" hidden="1" outlineLevel="1" x14ac:dyDescent="0.25">
      <c r="B7" s="15"/>
      <c r="C7" s="15" t="s">
        <v>252</v>
      </c>
      <c r="D7" s="39" t="s">
        <v>253</v>
      </c>
      <c r="E7" s="4">
        <v>600</v>
      </c>
      <c r="F7" s="48" t="s">
        <v>254</v>
      </c>
      <c r="G7" s="6">
        <v>570</v>
      </c>
      <c r="H7" s="26" t="s">
        <v>254</v>
      </c>
      <c r="I7" s="26">
        <v>570</v>
      </c>
    </row>
    <row r="8" spans="2:9" hidden="1" outlineLevel="1" x14ac:dyDescent="0.25">
      <c r="B8" s="15"/>
      <c r="C8" s="15" t="s">
        <v>255</v>
      </c>
      <c r="D8" s="39" t="s">
        <v>267</v>
      </c>
      <c r="E8" s="4">
        <v>1200</v>
      </c>
      <c r="F8" s="48" t="s">
        <v>267</v>
      </c>
      <c r="G8" s="6">
        <v>1200</v>
      </c>
      <c r="H8" s="26" t="s">
        <v>338</v>
      </c>
      <c r="I8" s="26">
        <v>600</v>
      </c>
    </row>
    <row r="9" spans="2:9" hidden="1" outlineLevel="1" x14ac:dyDescent="0.25">
      <c r="B9" s="15"/>
      <c r="C9" s="15" t="s">
        <v>256</v>
      </c>
      <c r="D9" s="39" t="s">
        <v>257</v>
      </c>
      <c r="E9" s="4">
        <v>120</v>
      </c>
      <c r="F9" s="48" t="s">
        <v>257</v>
      </c>
      <c r="G9" s="6">
        <v>120</v>
      </c>
      <c r="H9" s="26" t="s">
        <v>339</v>
      </c>
      <c r="I9" s="26">
        <v>70</v>
      </c>
    </row>
    <row r="10" spans="2:9" hidden="1" outlineLevel="1" x14ac:dyDescent="0.25">
      <c r="B10" s="15"/>
      <c r="C10" s="15" t="s">
        <v>258</v>
      </c>
      <c r="E10" s="4">
        <v>50</v>
      </c>
      <c r="G10" s="6">
        <v>50</v>
      </c>
      <c r="H10" s="26"/>
      <c r="I10" s="26">
        <v>50</v>
      </c>
    </row>
    <row r="11" spans="2:9" hidden="1" outlineLevel="1" x14ac:dyDescent="0.25">
      <c r="B11" s="15"/>
      <c r="C11" s="15" t="s">
        <v>259</v>
      </c>
      <c r="D11" s="39" t="s">
        <v>260</v>
      </c>
      <c r="E11" s="4">
        <v>450</v>
      </c>
      <c r="F11" s="48" t="s">
        <v>261</v>
      </c>
      <c r="G11" s="6">
        <v>200</v>
      </c>
      <c r="H11" s="26" t="s">
        <v>340</v>
      </c>
      <c r="I11" s="26">
        <v>400</v>
      </c>
    </row>
    <row r="12" spans="2:9" hidden="1" outlineLevel="1" x14ac:dyDescent="0.25">
      <c r="B12" s="15"/>
      <c r="C12" s="15" t="s">
        <v>262</v>
      </c>
      <c r="E12" s="4">
        <v>100</v>
      </c>
      <c r="G12" s="6">
        <v>100</v>
      </c>
      <c r="H12" s="26"/>
      <c r="I12" s="26">
        <v>100</v>
      </c>
    </row>
    <row r="13" spans="2:9" hidden="1" outlineLevel="1" x14ac:dyDescent="0.25">
      <c r="B13" s="28"/>
      <c r="C13" s="28" t="s">
        <v>263</v>
      </c>
      <c r="D13" s="40"/>
      <c r="E13" s="18">
        <v>50</v>
      </c>
      <c r="F13" s="49"/>
      <c r="G13" s="19">
        <v>25</v>
      </c>
      <c r="H13" s="29"/>
      <c r="I13" s="29">
        <v>25</v>
      </c>
    </row>
    <row r="14" spans="2:9" collapsed="1" x14ac:dyDescent="0.25">
      <c r="B14" s="30"/>
      <c r="C14" s="30"/>
      <c r="D14" s="41"/>
      <c r="E14" s="31">
        <f>(1+$D$448+$D$449)*SUM(E7:E13)</f>
        <v>2852.7000000000003</v>
      </c>
      <c r="F14" s="50"/>
      <c r="G14" s="32">
        <f>(1+$D$448+$D$449)*SUM(G7:G13)</f>
        <v>2514.15</v>
      </c>
      <c r="H14" s="53"/>
      <c r="I14" s="33">
        <f>(1+$D$448+$D$449)*SUM(I7:I13)</f>
        <v>2014.65</v>
      </c>
    </row>
    <row r="15" spans="2:9" x14ac:dyDescent="0.25">
      <c r="B15" s="24"/>
      <c r="C15" s="24"/>
      <c r="D15" s="9"/>
      <c r="E15" s="9"/>
      <c r="F15" s="9"/>
      <c r="G15" s="9"/>
      <c r="H15" s="9"/>
      <c r="I15" s="9"/>
    </row>
    <row r="16" spans="2:9" x14ac:dyDescent="0.25">
      <c r="B16" s="16" t="s">
        <v>4</v>
      </c>
      <c r="C16" s="15"/>
      <c r="H16" s="26"/>
      <c r="I16" s="55"/>
    </row>
    <row r="17" spans="2:9" hidden="1" outlineLevel="1" x14ac:dyDescent="0.25">
      <c r="B17" s="15"/>
      <c r="C17" s="15" t="s">
        <v>4</v>
      </c>
      <c r="D17" s="39" t="s">
        <v>264</v>
      </c>
      <c r="E17" s="4">
        <v>2200</v>
      </c>
      <c r="F17" s="48" t="s">
        <v>264</v>
      </c>
      <c r="G17" s="6">
        <v>2200</v>
      </c>
      <c r="H17" s="26" t="s">
        <v>353</v>
      </c>
      <c r="I17" s="26">
        <v>1700</v>
      </c>
    </row>
    <row r="18" spans="2:9" hidden="1" outlineLevel="1" x14ac:dyDescent="0.25">
      <c r="B18" s="15"/>
      <c r="C18" s="15" t="s">
        <v>270</v>
      </c>
      <c r="D18" s="39" t="s">
        <v>268</v>
      </c>
      <c r="E18" s="4">
        <v>300</v>
      </c>
      <c r="F18" s="48" t="s">
        <v>268</v>
      </c>
      <c r="G18" s="6">
        <v>250</v>
      </c>
      <c r="H18" s="26" t="s">
        <v>354</v>
      </c>
      <c r="I18" s="26">
        <v>150</v>
      </c>
    </row>
    <row r="19" spans="2:9" hidden="1" outlineLevel="1" x14ac:dyDescent="0.25">
      <c r="B19" s="15"/>
      <c r="C19" s="15" t="s">
        <v>266</v>
      </c>
      <c r="E19" s="4">
        <v>150</v>
      </c>
      <c r="G19" s="6">
        <v>100</v>
      </c>
      <c r="H19" s="26"/>
      <c r="I19" s="26">
        <v>0</v>
      </c>
    </row>
    <row r="20" spans="2:9" hidden="1" outlineLevel="1" x14ac:dyDescent="0.25">
      <c r="B20" s="15"/>
      <c r="C20" s="15" t="s">
        <v>355</v>
      </c>
      <c r="D20" s="39" t="s">
        <v>302</v>
      </c>
      <c r="E20" s="4">
        <v>0</v>
      </c>
      <c r="F20" s="48" t="s">
        <v>302</v>
      </c>
      <c r="G20" s="6">
        <v>0</v>
      </c>
      <c r="H20" s="26" t="s">
        <v>302</v>
      </c>
      <c r="I20" s="26">
        <v>0</v>
      </c>
    </row>
    <row r="21" spans="2:9" collapsed="1" x14ac:dyDescent="0.25">
      <c r="B21" s="30"/>
      <c r="C21" s="30"/>
      <c r="D21" s="41"/>
      <c r="E21" s="31">
        <f>(1+$D$448+$D$449)*SUM(E16:E20)</f>
        <v>2941.5000000000005</v>
      </c>
      <c r="F21" s="50"/>
      <c r="G21" s="32">
        <f>(1+$D$448+$D$449)*SUM(G16:G20)</f>
        <v>2830.5000000000005</v>
      </c>
      <c r="H21" s="53"/>
      <c r="I21" s="33">
        <f>(1+$D$448+$D$449)*SUM(I16:I20)</f>
        <v>2053.5</v>
      </c>
    </row>
    <row r="22" spans="2:9" x14ac:dyDescent="0.25">
      <c r="B22"/>
      <c r="D22" s="38"/>
      <c r="E22"/>
      <c r="F22" s="38"/>
      <c r="G22"/>
      <c r="H22" s="38"/>
      <c r="I22"/>
    </row>
    <row r="23" spans="2:9" x14ac:dyDescent="0.25">
      <c r="B23" s="16" t="s">
        <v>356</v>
      </c>
      <c r="C23" s="15"/>
      <c r="H23" s="26"/>
      <c r="I23" s="56">
        <f>G28</f>
        <v>732.6</v>
      </c>
    </row>
    <row r="24" spans="2:9" hidden="1" outlineLevel="1" x14ac:dyDescent="0.25">
      <c r="B24" s="15"/>
      <c r="C24" s="15" t="s">
        <v>44</v>
      </c>
      <c r="D24" s="39" t="s">
        <v>269</v>
      </c>
      <c r="E24" s="4">
        <v>240</v>
      </c>
      <c r="F24" s="48" t="s">
        <v>271</v>
      </c>
      <c r="G24" s="6">
        <v>150</v>
      </c>
      <c r="H24" s="26" t="s">
        <v>357</v>
      </c>
      <c r="I24" s="26">
        <v>0</v>
      </c>
    </row>
    <row r="25" spans="2:9" hidden="1" outlineLevel="1" x14ac:dyDescent="0.25">
      <c r="B25" s="15"/>
      <c r="C25" s="15" t="s">
        <v>509</v>
      </c>
      <c r="D25" s="39" t="s">
        <v>510</v>
      </c>
      <c r="E25" s="4">
        <v>150</v>
      </c>
      <c r="F25" s="48" t="s">
        <v>510</v>
      </c>
      <c r="G25" s="6">
        <v>150</v>
      </c>
      <c r="H25" s="26"/>
      <c r="I25" s="26">
        <v>0</v>
      </c>
    </row>
    <row r="26" spans="2:9" hidden="1" outlineLevel="1" x14ac:dyDescent="0.25">
      <c r="B26" s="15"/>
      <c r="C26" s="15" t="s">
        <v>265</v>
      </c>
      <c r="D26" s="39" t="s">
        <v>272</v>
      </c>
      <c r="E26" s="4">
        <v>240</v>
      </c>
      <c r="F26" s="48" t="s">
        <v>272</v>
      </c>
      <c r="G26" s="6">
        <v>240</v>
      </c>
      <c r="H26" s="26" t="s">
        <v>357</v>
      </c>
      <c r="I26" s="26">
        <v>0</v>
      </c>
    </row>
    <row r="27" spans="2:9" hidden="1" outlineLevel="1" x14ac:dyDescent="0.25">
      <c r="B27" s="15"/>
      <c r="C27" s="15" t="s">
        <v>273</v>
      </c>
      <c r="E27" s="4">
        <v>150</v>
      </c>
      <c r="G27" s="6">
        <v>120</v>
      </c>
      <c r="H27" s="26" t="s">
        <v>358</v>
      </c>
      <c r="I27" s="26">
        <v>400</v>
      </c>
    </row>
    <row r="28" spans="2:9" collapsed="1" x14ac:dyDescent="0.25">
      <c r="B28" s="30"/>
      <c r="C28" s="30"/>
      <c r="D28" s="41"/>
      <c r="E28" s="31">
        <f>(1+$D$448+$D$449)*SUM(E24:E27)</f>
        <v>865.80000000000007</v>
      </c>
      <c r="F28" s="50"/>
      <c r="G28" s="32">
        <f>(1+$D$448+$D$449)*SUM(G24:G27)</f>
        <v>732.6</v>
      </c>
      <c r="H28" s="53"/>
      <c r="I28" s="33">
        <f>(1+$D$448+$D$449)*SUM(I24:I27)</f>
        <v>444.00000000000006</v>
      </c>
    </row>
    <row r="29" spans="2:9" x14ac:dyDescent="0.25">
      <c r="B29"/>
      <c r="D29" s="38"/>
      <c r="E29"/>
      <c r="F29" s="38"/>
      <c r="G29"/>
      <c r="H29" s="38"/>
      <c r="I29"/>
    </row>
    <row r="30" spans="2:9" x14ac:dyDescent="0.25">
      <c r="B30" s="20" t="s">
        <v>386</v>
      </c>
      <c r="C30" s="22"/>
      <c r="D30" s="21"/>
      <c r="E30" s="21"/>
      <c r="F30" s="21"/>
      <c r="G30" s="21"/>
      <c r="H30" s="21"/>
      <c r="I30" s="21"/>
    </row>
    <row r="31" spans="2:9" x14ac:dyDescent="0.25">
      <c r="D31" s="38"/>
      <c r="E31"/>
      <c r="F31" s="38"/>
      <c r="G31"/>
      <c r="H31" s="38"/>
      <c r="I31"/>
    </row>
    <row r="32" spans="2:9" x14ac:dyDescent="0.25">
      <c r="B32" s="16" t="s">
        <v>359</v>
      </c>
      <c r="C32" s="15"/>
      <c r="H32" s="26"/>
      <c r="I32" s="55"/>
    </row>
    <row r="33" spans="2:9" hidden="1" outlineLevel="1" x14ac:dyDescent="0.25">
      <c r="B33" s="15"/>
      <c r="C33" s="15" t="s">
        <v>362</v>
      </c>
      <c r="E33" s="4">
        <v>480</v>
      </c>
      <c r="G33" s="6">
        <v>400</v>
      </c>
      <c r="H33" s="26"/>
      <c r="I33" s="26">
        <v>400</v>
      </c>
    </row>
    <row r="34" spans="2:9" hidden="1" outlineLevel="1" x14ac:dyDescent="0.25">
      <c r="B34" s="15"/>
      <c r="C34" s="15" t="s">
        <v>363</v>
      </c>
      <c r="E34" s="4">
        <v>600</v>
      </c>
      <c r="G34" s="6">
        <v>500</v>
      </c>
      <c r="H34" s="26"/>
      <c r="I34" s="26">
        <v>500</v>
      </c>
    </row>
    <row r="35" spans="2:9" hidden="1" outlineLevel="1" x14ac:dyDescent="0.25">
      <c r="B35" s="15"/>
      <c r="C35" s="15" t="s">
        <v>364</v>
      </c>
      <c r="D35" s="39" t="s">
        <v>348</v>
      </c>
      <c r="E35" s="4">
        <v>960</v>
      </c>
      <c r="F35" s="48" t="s">
        <v>348</v>
      </c>
      <c r="G35" s="6">
        <v>800</v>
      </c>
      <c r="H35" s="26" t="s">
        <v>348</v>
      </c>
      <c r="I35" s="26">
        <v>800</v>
      </c>
    </row>
    <row r="36" spans="2:9" hidden="1" outlineLevel="1" x14ac:dyDescent="0.25">
      <c r="B36" s="15"/>
      <c r="C36" s="15" t="s">
        <v>365</v>
      </c>
      <c r="D36" s="39" t="s">
        <v>348</v>
      </c>
      <c r="E36" s="4">
        <v>660</v>
      </c>
      <c r="F36" s="48" t="s">
        <v>348</v>
      </c>
      <c r="G36" s="6">
        <v>550</v>
      </c>
      <c r="H36" s="26" t="s">
        <v>348</v>
      </c>
      <c r="I36" s="26">
        <v>550</v>
      </c>
    </row>
    <row r="37" spans="2:9" hidden="1" outlineLevel="1" x14ac:dyDescent="0.25">
      <c r="B37" s="15"/>
      <c r="C37" s="15" t="s">
        <v>366</v>
      </c>
      <c r="D37" s="39" t="s">
        <v>348</v>
      </c>
      <c r="E37" s="4">
        <v>600</v>
      </c>
      <c r="F37" s="48" t="s">
        <v>348</v>
      </c>
      <c r="G37" s="6">
        <v>500</v>
      </c>
      <c r="H37" s="26" t="s">
        <v>348</v>
      </c>
      <c r="I37" s="26">
        <v>500</v>
      </c>
    </row>
    <row r="38" spans="2:9" hidden="1" outlineLevel="1" x14ac:dyDescent="0.25">
      <c r="B38" s="15"/>
      <c r="C38" s="15" t="s">
        <v>368</v>
      </c>
      <c r="E38" s="4">
        <v>1200</v>
      </c>
      <c r="G38" s="6">
        <v>1000</v>
      </c>
      <c r="H38" s="26" t="s">
        <v>371</v>
      </c>
      <c r="I38" s="26">
        <v>500</v>
      </c>
    </row>
    <row r="39" spans="2:9" collapsed="1" x14ac:dyDescent="0.25">
      <c r="B39" s="30"/>
      <c r="C39" s="30"/>
      <c r="D39" s="41" t="s">
        <v>369</v>
      </c>
      <c r="E39" s="31">
        <f>(1+$D$448+$D$449)*SUM(E33:E38)</f>
        <v>4995</v>
      </c>
      <c r="F39" s="50" t="s">
        <v>370</v>
      </c>
      <c r="G39" s="32">
        <f>(1+$D$448+$D$449)*SUM(G33:G38)</f>
        <v>4162.5</v>
      </c>
      <c r="H39" s="53"/>
      <c r="I39" s="33">
        <f>(1+$D$448+$D$449)*SUM(I33:I38)</f>
        <v>3607.5000000000005</v>
      </c>
    </row>
    <row r="40" spans="2:9" x14ac:dyDescent="0.25">
      <c r="B40" s="24"/>
      <c r="C40" s="24"/>
      <c r="D40" s="9"/>
      <c r="E40" s="9"/>
      <c r="F40" s="9"/>
      <c r="G40" s="9"/>
      <c r="H40" s="9"/>
      <c r="I40" s="9"/>
    </row>
    <row r="41" spans="2:9" x14ac:dyDescent="0.25">
      <c r="B41" s="16" t="s">
        <v>367</v>
      </c>
      <c r="C41" s="15"/>
      <c r="H41" s="26"/>
      <c r="I41" s="55"/>
    </row>
    <row r="42" spans="2:9" hidden="1" outlineLevel="1" x14ac:dyDescent="0.25">
      <c r="B42" s="15"/>
      <c r="C42" s="15" t="s">
        <v>367</v>
      </c>
      <c r="E42" s="4">
        <v>2700</v>
      </c>
      <c r="G42" s="6">
        <v>2300</v>
      </c>
      <c r="H42" s="26"/>
      <c r="I42" s="26">
        <v>2300</v>
      </c>
    </row>
    <row r="43" spans="2:9" collapsed="1" x14ac:dyDescent="0.25">
      <c r="B43" s="30"/>
      <c r="C43" s="30"/>
      <c r="D43" s="41" t="s">
        <v>369</v>
      </c>
      <c r="E43" s="31">
        <f>(1+$D$448+$D$449)*SUM(E42:E42)</f>
        <v>2997.0000000000005</v>
      </c>
      <c r="F43" s="50" t="s">
        <v>370</v>
      </c>
      <c r="G43" s="32">
        <f>(1+$D$448+$D$449)*SUM(G42:G42)</f>
        <v>2553</v>
      </c>
      <c r="H43" s="53" t="s">
        <v>370</v>
      </c>
      <c r="I43" s="33">
        <f>(1+$D$448+$D$449)*SUM(I42:I42)</f>
        <v>2553</v>
      </c>
    </row>
    <row r="44" spans="2:9" x14ac:dyDescent="0.25">
      <c r="B44" s="24"/>
      <c r="C44" s="24"/>
      <c r="D44" s="9"/>
      <c r="E44" s="9"/>
      <c r="F44" s="9"/>
      <c r="G44" s="9"/>
      <c r="H44" s="9"/>
      <c r="I44" s="9"/>
    </row>
    <row r="45" spans="2:9" x14ac:dyDescent="0.25">
      <c r="B45" s="16" t="s">
        <v>360</v>
      </c>
      <c r="C45" s="15"/>
      <c r="H45" s="26"/>
      <c r="I45" s="56"/>
    </row>
    <row r="46" spans="2:9" hidden="1" outlineLevel="1" x14ac:dyDescent="0.25">
      <c r="B46" s="15"/>
      <c r="C46" s="15" t="s">
        <v>372</v>
      </c>
      <c r="E46" s="18">
        <v>140</v>
      </c>
      <c r="F46" s="49"/>
      <c r="G46" s="19">
        <v>100</v>
      </c>
      <c r="H46" s="29"/>
      <c r="I46" s="29">
        <v>100</v>
      </c>
    </row>
    <row r="47" spans="2:9" hidden="1" outlineLevel="1" x14ac:dyDescent="0.25">
      <c r="B47" s="15"/>
      <c r="C47" s="15" t="s">
        <v>373</v>
      </c>
      <c r="E47" s="18">
        <v>180</v>
      </c>
      <c r="F47" s="49"/>
      <c r="G47" s="19">
        <v>120</v>
      </c>
      <c r="H47" s="29"/>
      <c r="I47" s="29">
        <v>120</v>
      </c>
    </row>
    <row r="48" spans="2:9" hidden="1" outlineLevel="1" x14ac:dyDescent="0.25">
      <c r="B48" s="15"/>
      <c r="C48" s="15" t="s">
        <v>374</v>
      </c>
      <c r="E48" s="18">
        <v>210</v>
      </c>
      <c r="F48" s="49"/>
      <c r="G48" s="19">
        <v>150</v>
      </c>
      <c r="H48" s="29"/>
      <c r="I48" s="29">
        <v>150</v>
      </c>
    </row>
    <row r="49" spans="2:9" hidden="1" outlineLevel="1" x14ac:dyDescent="0.25">
      <c r="B49" s="15"/>
      <c r="C49" s="15" t="s">
        <v>375</v>
      </c>
      <c r="E49" s="18">
        <v>280</v>
      </c>
      <c r="F49" s="49"/>
      <c r="G49" s="19">
        <v>200</v>
      </c>
      <c r="H49" s="29"/>
      <c r="I49" s="29">
        <v>200</v>
      </c>
    </row>
    <row r="50" spans="2:9" hidden="1" outlineLevel="1" x14ac:dyDescent="0.25">
      <c r="B50" s="15"/>
      <c r="C50" s="15" t="s">
        <v>376</v>
      </c>
      <c r="E50" s="18">
        <v>105</v>
      </c>
      <c r="F50" s="49"/>
      <c r="G50" s="19">
        <v>75</v>
      </c>
      <c r="H50" s="29"/>
      <c r="I50" s="29">
        <v>75</v>
      </c>
    </row>
    <row r="51" spans="2:9" hidden="1" outlineLevel="1" x14ac:dyDescent="0.25">
      <c r="B51" s="15"/>
      <c r="C51" s="15" t="s">
        <v>377</v>
      </c>
      <c r="E51" s="18">
        <v>240</v>
      </c>
      <c r="F51" s="49"/>
      <c r="G51" s="19">
        <v>180</v>
      </c>
      <c r="H51" s="29"/>
      <c r="I51" s="29">
        <v>180</v>
      </c>
    </row>
    <row r="52" spans="2:9" hidden="1" outlineLevel="1" x14ac:dyDescent="0.25">
      <c r="B52" s="28"/>
      <c r="C52" s="28" t="s">
        <v>378</v>
      </c>
      <c r="D52" s="40"/>
      <c r="E52" s="18">
        <v>140</v>
      </c>
      <c r="F52" s="49"/>
      <c r="G52" s="19">
        <v>100</v>
      </c>
      <c r="H52" s="29"/>
      <c r="I52" s="29">
        <v>100</v>
      </c>
    </row>
    <row r="53" spans="2:9" hidden="1" outlineLevel="1" x14ac:dyDescent="0.25">
      <c r="B53" s="15"/>
      <c r="C53" s="15" t="s">
        <v>379</v>
      </c>
      <c r="E53" s="18">
        <v>210</v>
      </c>
      <c r="F53" s="49"/>
      <c r="G53" s="19">
        <v>150</v>
      </c>
      <c r="H53" s="29"/>
      <c r="I53" s="29">
        <v>150</v>
      </c>
    </row>
    <row r="54" spans="2:9" hidden="1" outlineLevel="1" x14ac:dyDescent="0.25">
      <c r="B54" s="15"/>
      <c r="C54" s="15" t="s">
        <v>380</v>
      </c>
      <c r="E54" s="4">
        <v>70</v>
      </c>
      <c r="G54" s="6">
        <v>50</v>
      </c>
      <c r="H54" s="26"/>
      <c r="I54" s="26">
        <v>50</v>
      </c>
    </row>
    <row r="55" spans="2:9" hidden="1" outlineLevel="1" x14ac:dyDescent="0.25">
      <c r="B55" s="15"/>
      <c r="C55" s="15" t="s">
        <v>381</v>
      </c>
      <c r="E55" s="4">
        <v>40</v>
      </c>
      <c r="G55" s="6">
        <v>25</v>
      </c>
      <c r="H55" s="26"/>
      <c r="I55" s="26">
        <v>25</v>
      </c>
    </row>
    <row r="56" spans="2:9" hidden="1" outlineLevel="1" x14ac:dyDescent="0.25">
      <c r="B56" s="15"/>
      <c r="C56" s="15" t="s">
        <v>382</v>
      </c>
      <c r="E56" s="4">
        <v>100</v>
      </c>
      <c r="G56" s="6">
        <v>75</v>
      </c>
      <c r="H56" s="26"/>
      <c r="I56" s="26">
        <v>75</v>
      </c>
    </row>
    <row r="57" spans="2:9" hidden="1" outlineLevel="1" x14ac:dyDescent="0.25">
      <c r="B57" s="15"/>
      <c r="C57" s="15" t="s">
        <v>383</v>
      </c>
      <c r="E57" s="4">
        <v>70</v>
      </c>
      <c r="G57" s="6">
        <v>50</v>
      </c>
      <c r="H57" s="26"/>
      <c r="I57" s="26">
        <v>50</v>
      </c>
    </row>
    <row r="58" spans="2:9" collapsed="1" x14ac:dyDescent="0.25">
      <c r="B58" s="30"/>
      <c r="C58" s="30"/>
      <c r="D58" s="41" t="s">
        <v>384</v>
      </c>
      <c r="E58" s="31">
        <f>(1+$D$448+$D$449)*SUM(E46:E57)</f>
        <v>1981.3500000000001</v>
      </c>
      <c r="F58" s="50" t="s">
        <v>385</v>
      </c>
      <c r="G58" s="32">
        <f>(1+$D$448+$D$449)*SUM(G46:G57)</f>
        <v>1415.2500000000002</v>
      </c>
      <c r="H58" s="53" t="s">
        <v>385</v>
      </c>
      <c r="I58" s="33">
        <v>1415.2500000000002</v>
      </c>
    </row>
    <row r="59" spans="2:9" x14ac:dyDescent="0.25">
      <c r="B59" s="24"/>
      <c r="C59" s="24"/>
      <c r="D59" s="9"/>
      <c r="E59" s="9"/>
      <c r="F59" s="9"/>
      <c r="G59" s="9"/>
      <c r="H59" s="9"/>
      <c r="I59" s="9"/>
    </row>
    <row r="60" spans="2:9" x14ac:dyDescent="0.25">
      <c r="B60" s="16" t="s">
        <v>173</v>
      </c>
      <c r="C60" s="15"/>
      <c r="H60" s="26"/>
      <c r="I60" s="56"/>
    </row>
    <row r="61" spans="2:9" hidden="1" outlineLevel="1" x14ac:dyDescent="0.25">
      <c r="B61" s="28"/>
      <c r="C61" s="28" t="s">
        <v>387</v>
      </c>
      <c r="D61" s="40"/>
      <c r="E61" s="18">
        <v>50</v>
      </c>
      <c r="F61" s="49"/>
      <c r="G61" s="19">
        <v>160</v>
      </c>
      <c r="H61" s="29"/>
      <c r="I61" s="29">
        <v>160</v>
      </c>
    </row>
    <row r="62" spans="2:9" hidden="1" outlineLevel="1" x14ac:dyDescent="0.25">
      <c r="B62" s="15"/>
      <c r="C62" s="15" t="s">
        <v>388</v>
      </c>
      <c r="E62" s="4">
        <v>100</v>
      </c>
      <c r="G62" s="6">
        <v>80</v>
      </c>
      <c r="H62" s="26"/>
      <c r="I62" s="26">
        <v>80</v>
      </c>
    </row>
    <row r="63" spans="2:9" hidden="1" outlineLevel="1" x14ac:dyDescent="0.25">
      <c r="B63" s="15"/>
      <c r="C63" s="15" t="s">
        <v>389</v>
      </c>
      <c r="E63" s="4">
        <v>150</v>
      </c>
      <c r="G63" s="6">
        <v>120</v>
      </c>
      <c r="H63" s="26"/>
      <c r="I63" s="26">
        <v>120</v>
      </c>
    </row>
    <row r="64" spans="2:9" hidden="1" outlineLevel="1" x14ac:dyDescent="0.25">
      <c r="B64" s="15"/>
      <c r="C64" s="15" t="s">
        <v>390</v>
      </c>
      <c r="E64" s="4">
        <v>200</v>
      </c>
      <c r="G64" s="6">
        <v>160</v>
      </c>
      <c r="H64" s="26"/>
      <c r="I64" s="26">
        <v>160</v>
      </c>
    </row>
    <row r="65" spans="2:9" hidden="1" outlineLevel="1" x14ac:dyDescent="0.25">
      <c r="B65" s="15"/>
      <c r="C65" s="15" t="s">
        <v>391</v>
      </c>
      <c r="E65" s="4">
        <v>50</v>
      </c>
      <c r="G65" s="6">
        <v>40</v>
      </c>
      <c r="H65" s="26"/>
      <c r="I65" s="26">
        <v>40</v>
      </c>
    </row>
    <row r="66" spans="2:9" hidden="1" outlineLevel="1" x14ac:dyDescent="0.25">
      <c r="B66" s="15"/>
      <c r="C66" s="15" t="s">
        <v>392</v>
      </c>
      <c r="E66" s="4">
        <v>100</v>
      </c>
      <c r="G66" s="6">
        <v>80</v>
      </c>
      <c r="H66" s="26"/>
      <c r="I66" s="26">
        <v>80</v>
      </c>
    </row>
    <row r="67" spans="2:9" hidden="1" outlineLevel="1" x14ac:dyDescent="0.25">
      <c r="B67" s="15"/>
      <c r="C67" s="15" t="s">
        <v>393</v>
      </c>
      <c r="E67" s="4">
        <v>100</v>
      </c>
      <c r="G67" s="6">
        <v>80</v>
      </c>
      <c r="H67" s="26"/>
      <c r="I67" s="26">
        <v>80</v>
      </c>
    </row>
    <row r="68" spans="2:9" hidden="1" outlineLevel="1" x14ac:dyDescent="0.25">
      <c r="B68" s="28"/>
      <c r="C68" s="28" t="s">
        <v>394</v>
      </c>
      <c r="D68" s="40"/>
      <c r="E68" s="18">
        <v>100</v>
      </c>
      <c r="F68" s="49"/>
      <c r="G68" s="19">
        <v>80</v>
      </c>
      <c r="H68" s="29"/>
      <c r="I68" s="29">
        <v>80</v>
      </c>
    </row>
    <row r="69" spans="2:9" collapsed="1" x14ac:dyDescent="0.25">
      <c r="B69" s="30"/>
      <c r="C69" s="30"/>
      <c r="D69" s="41" t="s">
        <v>395</v>
      </c>
      <c r="E69" s="31">
        <f>(1+$D$448+$D$449)*SUM(E61:E68)</f>
        <v>943.50000000000011</v>
      </c>
      <c r="F69" s="50" t="s">
        <v>396</v>
      </c>
      <c r="G69" s="32">
        <f>(1+$D$448+$D$449)*SUM(G61:G68)</f>
        <v>888.00000000000011</v>
      </c>
      <c r="H69" s="53"/>
      <c r="I69" s="33">
        <f>(1+$D$448+$D$449)*SUM(I61:I68)</f>
        <v>888.00000000000011</v>
      </c>
    </row>
    <row r="70" spans="2:9" x14ac:dyDescent="0.25">
      <c r="B70" s="24"/>
      <c r="C70" s="24"/>
      <c r="D70" s="9"/>
      <c r="E70" s="9"/>
      <c r="F70" s="9"/>
      <c r="G70" s="9"/>
      <c r="H70" s="9"/>
      <c r="I70" s="9"/>
    </row>
    <row r="71" spans="2:9" x14ac:dyDescent="0.25">
      <c r="B71" s="16" t="s">
        <v>361</v>
      </c>
      <c r="C71" s="15"/>
      <c r="H71" s="26"/>
      <c r="I71" s="26">
        <f>G76</f>
        <v>8103.0000000000009</v>
      </c>
    </row>
    <row r="72" spans="2:9" hidden="1" outlineLevel="1" x14ac:dyDescent="0.25">
      <c r="B72" s="15"/>
      <c r="C72" s="15" t="s">
        <v>397</v>
      </c>
      <c r="E72" s="4">
        <v>2500</v>
      </c>
      <c r="G72" s="6">
        <v>2000</v>
      </c>
      <c r="H72" s="26"/>
      <c r="I72" s="26">
        <v>2000</v>
      </c>
    </row>
    <row r="73" spans="2:9" hidden="1" outlineLevel="1" x14ac:dyDescent="0.25">
      <c r="B73" s="15"/>
      <c r="C73" s="15" t="s">
        <v>398</v>
      </c>
      <c r="E73" s="4">
        <v>2000</v>
      </c>
      <c r="G73" s="6">
        <v>1500</v>
      </c>
      <c r="H73" s="26"/>
      <c r="I73" s="26">
        <v>1500</v>
      </c>
    </row>
    <row r="74" spans="2:9" hidden="1" outlineLevel="1" x14ac:dyDescent="0.25">
      <c r="B74" s="15"/>
      <c r="C74" s="15" t="s">
        <v>399</v>
      </c>
      <c r="E74" s="4">
        <v>2400</v>
      </c>
      <c r="G74" s="6">
        <v>1800</v>
      </c>
      <c r="H74" s="26"/>
      <c r="I74" s="26">
        <v>1800</v>
      </c>
    </row>
    <row r="75" spans="2:9" hidden="1" outlineLevel="1" x14ac:dyDescent="0.25">
      <c r="B75" s="15"/>
      <c r="C75" s="15" t="s">
        <v>400</v>
      </c>
      <c r="E75" s="4">
        <v>2500</v>
      </c>
      <c r="G75" s="6">
        <v>2000</v>
      </c>
      <c r="H75" s="26"/>
      <c r="I75" s="26">
        <v>2000</v>
      </c>
    </row>
    <row r="76" spans="2:9" collapsed="1" x14ac:dyDescent="0.25">
      <c r="B76" s="30"/>
      <c r="C76" s="30"/>
      <c r="D76" s="41"/>
      <c r="E76" s="31">
        <f>(1+$D$448+$D$449)*SUM(E72:E75)</f>
        <v>10434.000000000002</v>
      </c>
      <c r="F76" s="50"/>
      <c r="G76" s="32">
        <f>(1+$D$448+$D$449)*SUM(G72:G75)</f>
        <v>8103.0000000000009</v>
      </c>
      <c r="H76" s="53"/>
      <c r="I76" s="33">
        <f>(1+$D$448+$D$449)*SUM(I72:I75)</f>
        <v>8103.0000000000009</v>
      </c>
    </row>
    <row r="77" spans="2:9" x14ac:dyDescent="0.25">
      <c r="B77" s="24"/>
      <c r="C77" s="24"/>
      <c r="D77" s="9"/>
      <c r="E77" s="9"/>
      <c r="F77" s="9"/>
      <c r="G77" s="9"/>
      <c r="H77" s="9"/>
      <c r="I77" s="9"/>
    </row>
    <row r="78" spans="2:9" x14ac:dyDescent="0.25">
      <c r="B78" s="20" t="s">
        <v>275</v>
      </c>
      <c r="C78" s="22"/>
      <c r="D78" s="21"/>
      <c r="E78" s="21"/>
      <c r="F78" s="21"/>
      <c r="G78" s="21"/>
      <c r="H78" s="21"/>
      <c r="I78" s="21"/>
    </row>
    <row r="79" spans="2:9" x14ac:dyDescent="0.25">
      <c r="D79" s="38"/>
      <c r="E79"/>
      <c r="F79" s="38"/>
      <c r="G79"/>
      <c r="H79" s="38"/>
      <c r="I79"/>
    </row>
    <row r="80" spans="2:9" x14ac:dyDescent="0.25">
      <c r="B80" s="16" t="s">
        <v>285</v>
      </c>
      <c r="C80" s="15"/>
      <c r="H80" s="26"/>
      <c r="I80" s="56"/>
    </row>
    <row r="81" spans="2:9" hidden="1" outlineLevel="1" x14ac:dyDescent="0.25">
      <c r="B81" s="15"/>
      <c r="C81" s="15" t="s">
        <v>243</v>
      </c>
      <c r="D81" s="39" t="s">
        <v>284</v>
      </c>
      <c r="E81" s="4">
        <v>3200</v>
      </c>
      <c r="F81" s="48" t="s">
        <v>284</v>
      </c>
      <c r="G81" s="6">
        <v>2700</v>
      </c>
      <c r="H81" s="26" t="s">
        <v>284</v>
      </c>
      <c r="I81" s="26">
        <v>2700</v>
      </c>
    </row>
    <row r="82" spans="2:9" hidden="1" outlineLevel="1" x14ac:dyDescent="0.25">
      <c r="B82" s="15"/>
      <c r="C82" s="15" t="s">
        <v>244</v>
      </c>
      <c r="E82" s="4">
        <v>1000</v>
      </c>
      <c r="G82" s="6">
        <v>500</v>
      </c>
      <c r="H82" s="26"/>
      <c r="I82" s="26">
        <v>500</v>
      </c>
    </row>
    <row r="83" spans="2:9" hidden="1" outlineLevel="1" x14ac:dyDescent="0.25">
      <c r="B83" s="15"/>
      <c r="C83" s="15" t="s">
        <v>245</v>
      </c>
      <c r="E83" s="4">
        <v>300</v>
      </c>
      <c r="G83" s="6">
        <v>300</v>
      </c>
      <c r="H83" s="26"/>
      <c r="I83" s="26">
        <v>300</v>
      </c>
    </row>
    <row r="84" spans="2:9" collapsed="1" x14ac:dyDescent="0.25">
      <c r="B84" s="30"/>
      <c r="C84" s="30"/>
      <c r="D84" s="41"/>
      <c r="E84" s="31">
        <f>(1+$D$448+$D$449)*SUM(E81:E83)</f>
        <v>4995</v>
      </c>
      <c r="F84" s="50"/>
      <c r="G84" s="32">
        <f>(1+$D$448+$D$449)*SUM(G81:G83)</f>
        <v>3885.0000000000005</v>
      </c>
      <c r="H84" s="53"/>
      <c r="I84" s="33">
        <f>(1+$D$448+$D$449)*SUM(I81:I83)</f>
        <v>3885.0000000000005</v>
      </c>
    </row>
    <row r="85" spans="2:9" x14ac:dyDescent="0.25">
      <c r="D85" s="38"/>
      <c r="E85"/>
      <c r="F85" s="38"/>
      <c r="G85"/>
      <c r="H85" s="38"/>
      <c r="I85"/>
    </row>
    <row r="86" spans="2:9" x14ac:dyDescent="0.25">
      <c r="B86" s="16" t="s">
        <v>249</v>
      </c>
      <c r="C86" s="15"/>
      <c r="H86" s="26"/>
      <c r="I86" s="56"/>
    </row>
    <row r="87" spans="2:9" hidden="1" outlineLevel="1" x14ac:dyDescent="0.25">
      <c r="B87" s="15"/>
      <c r="C87" s="15" t="s">
        <v>246</v>
      </c>
      <c r="E87" s="4">
        <v>720</v>
      </c>
      <c r="G87" s="6">
        <v>400</v>
      </c>
      <c r="H87" s="26"/>
      <c r="I87" s="26">
        <v>400</v>
      </c>
    </row>
    <row r="88" spans="2:9" hidden="1" outlineLevel="1" x14ac:dyDescent="0.25">
      <c r="B88" s="15"/>
      <c r="C88" s="15" t="s">
        <v>19</v>
      </c>
      <c r="E88" s="4">
        <v>500</v>
      </c>
      <c r="G88" s="6">
        <v>300</v>
      </c>
      <c r="H88" s="26"/>
      <c r="I88" s="26">
        <v>300</v>
      </c>
    </row>
    <row r="89" spans="2:9" hidden="1" outlineLevel="1" x14ac:dyDescent="0.25">
      <c r="B89" s="15"/>
      <c r="C89" s="15" t="s">
        <v>248</v>
      </c>
      <c r="E89" s="4">
        <v>200</v>
      </c>
      <c r="G89" s="6">
        <v>150</v>
      </c>
      <c r="H89" s="26"/>
      <c r="I89" s="26">
        <v>150</v>
      </c>
    </row>
    <row r="90" spans="2:9" hidden="1" outlineLevel="1" x14ac:dyDescent="0.25">
      <c r="B90" s="15"/>
      <c r="C90" s="15" t="s">
        <v>247</v>
      </c>
      <c r="E90" s="4">
        <v>150</v>
      </c>
      <c r="G90" s="6">
        <v>100</v>
      </c>
      <c r="H90" s="26"/>
      <c r="I90" s="26">
        <v>100</v>
      </c>
    </row>
    <row r="91" spans="2:9" collapsed="1" x14ac:dyDescent="0.25">
      <c r="B91" s="30"/>
      <c r="C91" s="30"/>
      <c r="D91" s="41"/>
      <c r="E91" s="31">
        <f>(1+$D$448+$D$449)*SUM(E86:E90)</f>
        <v>1742.7</v>
      </c>
      <c r="F91" s="50"/>
      <c r="G91" s="32">
        <f>(1+$D$448+$D$449)*SUM(G86:G90)</f>
        <v>1054.5</v>
      </c>
      <c r="H91" s="53"/>
      <c r="I91" s="33">
        <f>(1+$D$448+$D$449)*SUM(I86:I90)</f>
        <v>1054.5</v>
      </c>
    </row>
    <row r="92" spans="2:9" x14ac:dyDescent="0.25">
      <c r="D92" s="38"/>
      <c r="E92"/>
      <c r="F92" s="38"/>
      <c r="G92"/>
      <c r="H92" s="38"/>
      <c r="I92"/>
    </row>
    <row r="93" spans="2:9" x14ac:dyDescent="0.25">
      <c r="B93" s="16" t="s">
        <v>250</v>
      </c>
      <c r="C93" s="15"/>
      <c r="H93" s="26"/>
      <c r="I93" s="56"/>
    </row>
    <row r="94" spans="2:9" hidden="1" outlineLevel="1" x14ac:dyDescent="0.25">
      <c r="B94" s="15"/>
      <c r="C94" s="15" t="s">
        <v>246</v>
      </c>
      <c r="E94" s="4">
        <v>500</v>
      </c>
      <c r="G94" s="6">
        <v>400</v>
      </c>
      <c r="H94" s="26"/>
      <c r="I94" s="26">
        <v>400</v>
      </c>
    </row>
    <row r="95" spans="2:9" hidden="1" outlineLevel="1" x14ac:dyDescent="0.25">
      <c r="B95" s="15"/>
      <c r="C95" s="15" t="s">
        <v>19</v>
      </c>
      <c r="E95" s="4">
        <v>1000</v>
      </c>
      <c r="G95" s="6">
        <v>700</v>
      </c>
      <c r="H95" s="26"/>
      <c r="I95" s="26">
        <v>700</v>
      </c>
    </row>
    <row r="96" spans="2:9" hidden="1" outlineLevel="1" x14ac:dyDescent="0.25">
      <c r="B96" s="15"/>
      <c r="C96" s="15" t="s">
        <v>248</v>
      </c>
      <c r="E96" s="4">
        <v>200</v>
      </c>
      <c r="G96" s="6">
        <v>150</v>
      </c>
      <c r="H96" s="26"/>
      <c r="I96" s="26">
        <v>150</v>
      </c>
    </row>
    <row r="97" spans="2:9" collapsed="1" x14ac:dyDescent="0.25">
      <c r="B97" s="30"/>
      <c r="C97" s="30"/>
      <c r="D97" s="41"/>
      <c r="E97" s="31">
        <f>(1+$D$448+$D$449)*SUM(E94:E96)</f>
        <v>1887.0000000000002</v>
      </c>
      <c r="F97" s="50"/>
      <c r="G97" s="32">
        <f>(1+$D$448+$D$449)*SUM(G94:G96)</f>
        <v>1387.5000000000002</v>
      </c>
      <c r="H97" s="53"/>
      <c r="I97" s="33">
        <f>(1+$D$448+$D$449)*SUM(I94:I96)</f>
        <v>1387.5000000000002</v>
      </c>
    </row>
    <row r="98" spans="2:9" x14ac:dyDescent="0.25">
      <c r="D98" s="38"/>
      <c r="E98"/>
      <c r="F98" s="38"/>
      <c r="G98"/>
      <c r="H98" s="38"/>
      <c r="I98"/>
    </row>
    <row r="99" spans="2:9" x14ac:dyDescent="0.25">
      <c r="B99" s="16" t="s">
        <v>349</v>
      </c>
      <c r="C99" s="17"/>
      <c r="H99" s="26"/>
      <c r="I99" s="56"/>
    </row>
    <row r="100" spans="2:9" hidden="1" outlineLevel="1" x14ac:dyDescent="0.25">
      <c r="B100" s="15"/>
      <c r="C100" s="15" t="s">
        <v>343</v>
      </c>
      <c r="D100" s="42" t="s">
        <v>344</v>
      </c>
      <c r="E100" s="34">
        <v>900</v>
      </c>
      <c r="F100" s="51" t="s">
        <v>344</v>
      </c>
      <c r="G100" s="35">
        <v>900</v>
      </c>
      <c r="H100" s="36" t="s">
        <v>344</v>
      </c>
      <c r="I100" s="36">
        <v>900</v>
      </c>
    </row>
    <row r="101" spans="2:9" hidden="1" outlineLevel="1" x14ac:dyDescent="0.25">
      <c r="B101" s="15"/>
      <c r="C101" s="15" t="s">
        <v>11</v>
      </c>
      <c r="D101" s="39" t="s">
        <v>345</v>
      </c>
      <c r="E101" s="4">
        <v>600</v>
      </c>
      <c r="F101" s="48" t="s">
        <v>345</v>
      </c>
      <c r="G101" s="6">
        <v>600</v>
      </c>
      <c r="H101" s="26" t="s">
        <v>345</v>
      </c>
      <c r="I101" s="26">
        <v>600</v>
      </c>
    </row>
    <row r="102" spans="2:9" hidden="1" outlineLevel="1" x14ac:dyDescent="0.25">
      <c r="B102" s="15"/>
      <c r="C102" s="15" t="s">
        <v>12</v>
      </c>
      <c r="D102" s="39" t="s">
        <v>347</v>
      </c>
      <c r="E102" s="4">
        <v>150</v>
      </c>
      <c r="G102" s="6">
        <v>150</v>
      </c>
      <c r="H102" s="26"/>
      <c r="I102" s="26">
        <v>150</v>
      </c>
    </row>
    <row r="103" spans="2:9" hidden="1" outlineLevel="1" x14ac:dyDescent="0.25">
      <c r="B103" s="15"/>
      <c r="C103" s="15" t="s">
        <v>13</v>
      </c>
      <c r="D103" s="39" t="s">
        <v>347</v>
      </c>
      <c r="E103" s="4">
        <v>200</v>
      </c>
      <c r="G103" s="6">
        <v>200</v>
      </c>
      <c r="H103" s="26"/>
      <c r="I103" s="26">
        <v>200</v>
      </c>
    </row>
    <row r="104" spans="2:9" hidden="1" outlineLevel="1" x14ac:dyDescent="0.25">
      <c r="B104" s="15"/>
      <c r="C104" s="15" t="s">
        <v>15</v>
      </c>
      <c r="E104" s="4">
        <v>100</v>
      </c>
      <c r="G104" s="6">
        <v>50</v>
      </c>
      <c r="H104" s="26"/>
      <c r="I104" s="26">
        <v>50</v>
      </c>
    </row>
    <row r="105" spans="2:9" hidden="1" outlineLevel="1" x14ac:dyDescent="0.25">
      <c r="B105" s="15"/>
      <c r="C105" s="15" t="s">
        <v>350</v>
      </c>
      <c r="E105" s="4">
        <v>100</v>
      </c>
      <c r="G105" s="6">
        <v>100</v>
      </c>
      <c r="H105" s="26"/>
      <c r="I105" s="26">
        <v>100</v>
      </c>
    </row>
    <row r="106" spans="2:9" hidden="1" outlineLevel="1" x14ac:dyDescent="0.25">
      <c r="B106" s="15"/>
      <c r="C106" s="15" t="s">
        <v>16</v>
      </c>
      <c r="E106" s="4">
        <v>200</v>
      </c>
      <c r="G106" s="6">
        <v>150</v>
      </c>
      <c r="H106" s="26"/>
      <c r="I106" s="26">
        <v>100</v>
      </c>
    </row>
    <row r="107" spans="2:9" collapsed="1" x14ac:dyDescent="0.25">
      <c r="B107" s="30"/>
      <c r="C107" s="30"/>
      <c r="D107" s="41"/>
      <c r="E107" s="31">
        <f>(1+$D$448+$D$449)*SUM(E100:E106)</f>
        <v>2497.5</v>
      </c>
      <c r="F107" s="50"/>
      <c r="G107" s="32">
        <f>(1+$D$448+$D$449)*SUM(G100:G106)</f>
        <v>2386.5</v>
      </c>
      <c r="H107" s="53"/>
      <c r="I107" s="33">
        <f>(1+$D$448+$D$449)*SUM(I100:I106)</f>
        <v>2331</v>
      </c>
    </row>
    <row r="108" spans="2:9" x14ac:dyDescent="0.25">
      <c r="B108"/>
      <c r="D108" s="38"/>
      <c r="E108"/>
      <c r="F108" s="38"/>
      <c r="G108"/>
      <c r="H108" s="38"/>
      <c r="I108"/>
    </row>
    <row r="109" spans="2:9" x14ac:dyDescent="0.25">
      <c r="B109" s="16" t="s">
        <v>286</v>
      </c>
      <c r="C109" s="15"/>
      <c r="H109" s="26"/>
      <c r="I109" s="56"/>
    </row>
    <row r="110" spans="2:9" hidden="1" outlineLevel="1" x14ac:dyDescent="0.25">
      <c r="B110" s="15"/>
      <c r="C110" s="15" t="s">
        <v>19</v>
      </c>
      <c r="D110" s="39" t="s">
        <v>221</v>
      </c>
      <c r="E110" s="4">
        <v>1000</v>
      </c>
      <c r="F110" s="48" t="s">
        <v>222</v>
      </c>
      <c r="G110" s="6">
        <v>600</v>
      </c>
      <c r="H110" s="26" t="s">
        <v>222</v>
      </c>
      <c r="I110" s="26">
        <v>600</v>
      </c>
    </row>
    <row r="111" spans="2:9" hidden="1" outlineLevel="1" x14ac:dyDescent="0.25">
      <c r="B111" s="15"/>
      <c r="C111" s="15" t="s">
        <v>17</v>
      </c>
      <c r="E111" s="4">
        <v>150</v>
      </c>
      <c r="G111" s="6">
        <v>100</v>
      </c>
      <c r="H111" s="26"/>
      <c r="I111" s="26">
        <v>100</v>
      </c>
    </row>
    <row r="112" spans="2:9" hidden="1" outlineLevel="1" x14ac:dyDescent="0.25">
      <c r="B112" s="15"/>
      <c r="C112" s="15" t="s">
        <v>18</v>
      </c>
      <c r="E112" s="4">
        <v>200</v>
      </c>
      <c r="G112" s="6">
        <v>150</v>
      </c>
      <c r="H112" s="26"/>
      <c r="I112" s="26">
        <v>150</v>
      </c>
    </row>
    <row r="113" spans="2:9" collapsed="1" x14ac:dyDescent="0.25">
      <c r="B113" s="30"/>
      <c r="C113" s="30"/>
      <c r="D113" s="41"/>
      <c r="E113" s="31">
        <f>(1+$D$448+$D$449)*SUM(E110:E112)</f>
        <v>1498.5000000000002</v>
      </c>
      <c r="F113" s="50"/>
      <c r="G113" s="32">
        <f>(1+$D$448+$D$449)*SUM(G110:G112)</f>
        <v>943.50000000000011</v>
      </c>
      <c r="H113" s="53"/>
      <c r="I113" s="33">
        <f>(1+$D$448+$D$449)*SUM(I110:I112)</f>
        <v>943.50000000000011</v>
      </c>
    </row>
    <row r="114" spans="2:9" x14ac:dyDescent="0.25">
      <c r="D114" s="9"/>
      <c r="E114" s="9"/>
      <c r="F114" s="9"/>
      <c r="G114" s="9"/>
      <c r="H114" s="9"/>
      <c r="I114" s="9"/>
    </row>
    <row r="115" spans="2:9" x14ac:dyDescent="0.25">
      <c r="B115" s="16" t="s">
        <v>352</v>
      </c>
      <c r="C115" s="17"/>
      <c r="H115" s="26"/>
      <c r="I115" s="56"/>
    </row>
    <row r="116" spans="2:9" hidden="1" outlineLevel="1" x14ac:dyDescent="0.25">
      <c r="B116" s="15"/>
      <c r="C116" s="15" t="s">
        <v>11</v>
      </c>
      <c r="D116" s="39" t="s">
        <v>346</v>
      </c>
      <c r="E116" s="4">
        <v>1200</v>
      </c>
      <c r="F116" s="48" t="s">
        <v>346</v>
      </c>
      <c r="G116" s="6">
        <v>1200</v>
      </c>
      <c r="H116" s="26" t="s">
        <v>346</v>
      </c>
      <c r="I116" s="26">
        <v>1200</v>
      </c>
    </row>
    <row r="117" spans="2:9" hidden="1" outlineLevel="1" x14ac:dyDescent="0.25">
      <c r="B117" s="15"/>
      <c r="C117" s="15" t="s">
        <v>12</v>
      </c>
      <c r="D117" s="39" t="s">
        <v>348</v>
      </c>
      <c r="E117" s="4">
        <v>300</v>
      </c>
      <c r="G117" s="6">
        <v>300</v>
      </c>
      <c r="H117" s="26"/>
      <c r="I117" s="26">
        <v>300</v>
      </c>
    </row>
    <row r="118" spans="2:9" hidden="1" outlineLevel="1" x14ac:dyDescent="0.25">
      <c r="B118" s="15"/>
      <c r="C118" s="15" t="s">
        <v>14</v>
      </c>
      <c r="E118" s="4">
        <v>180</v>
      </c>
      <c r="G118" s="6">
        <v>180</v>
      </c>
      <c r="H118" s="26"/>
      <c r="I118" s="26">
        <v>180</v>
      </c>
    </row>
    <row r="119" spans="2:9" hidden="1" outlineLevel="1" x14ac:dyDescent="0.25">
      <c r="B119" s="15"/>
      <c r="C119" s="15" t="s">
        <v>350</v>
      </c>
      <c r="E119" s="4">
        <v>150</v>
      </c>
      <c r="G119" s="6">
        <v>150</v>
      </c>
      <c r="H119" s="26"/>
      <c r="I119" s="26">
        <v>150</v>
      </c>
    </row>
    <row r="120" spans="2:9" hidden="1" outlineLevel="1" x14ac:dyDescent="0.25">
      <c r="B120" s="15"/>
      <c r="C120" s="15" t="s">
        <v>351</v>
      </c>
      <c r="E120" s="4">
        <v>200</v>
      </c>
      <c r="G120" s="6">
        <v>150</v>
      </c>
      <c r="H120" s="26"/>
      <c r="I120" s="26">
        <v>100</v>
      </c>
    </row>
    <row r="121" spans="2:9" hidden="1" outlineLevel="1" x14ac:dyDescent="0.25">
      <c r="B121" s="15"/>
      <c r="C121" s="15" t="s">
        <v>16</v>
      </c>
      <c r="E121" s="4">
        <v>300</v>
      </c>
      <c r="G121" s="6">
        <v>200</v>
      </c>
      <c r="H121" s="26"/>
      <c r="I121" s="26">
        <v>150</v>
      </c>
    </row>
    <row r="122" spans="2:9" collapsed="1" x14ac:dyDescent="0.25">
      <c r="B122" s="30"/>
      <c r="C122" s="30"/>
      <c r="D122" s="41"/>
      <c r="E122" s="31">
        <f>(1+$D$448+$D$449)*SUM(E116:E121)</f>
        <v>2586.3000000000002</v>
      </c>
      <c r="F122" s="50"/>
      <c r="G122" s="32">
        <f>(1+$D$448+$D$449)*SUM(G116:G121)</f>
        <v>2419.8000000000002</v>
      </c>
      <c r="H122" s="53"/>
      <c r="I122" s="33">
        <f>(1+$D$448+$D$449)*SUM(I116:I121)</f>
        <v>2308.8000000000002</v>
      </c>
    </row>
    <row r="123" spans="2:9" x14ac:dyDescent="0.25">
      <c r="B123"/>
      <c r="D123" s="38"/>
      <c r="E123"/>
      <c r="F123" s="38"/>
      <c r="G123"/>
      <c r="H123" s="38"/>
      <c r="I123"/>
    </row>
    <row r="124" spans="2:9" x14ac:dyDescent="0.25">
      <c r="B124" s="20" t="s">
        <v>280</v>
      </c>
      <c r="C124" s="22"/>
      <c r="D124" s="21"/>
      <c r="E124" s="21"/>
      <c r="F124" s="21"/>
      <c r="G124" s="21"/>
      <c r="H124" s="21"/>
      <c r="I124" s="21"/>
    </row>
    <row r="125" spans="2:9" x14ac:dyDescent="0.25">
      <c r="D125" s="38"/>
      <c r="E125"/>
      <c r="F125" s="38"/>
      <c r="G125"/>
      <c r="H125" s="38"/>
      <c r="I125"/>
    </row>
    <row r="126" spans="2:9" x14ac:dyDescent="0.25">
      <c r="B126" s="16" t="s">
        <v>287</v>
      </c>
      <c r="C126" s="15"/>
      <c r="H126" s="26"/>
      <c r="I126" s="56"/>
    </row>
    <row r="127" spans="2:9" hidden="1" outlineLevel="1" x14ac:dyDescent="0.25">
      <c r="B127" s="15"/>
      <c r="C127" s="15" t="s">
        <v>288</v>
      </c>
      <c r="D127" s="39" t="s">
        <v>289</v>
      </c>
      <c r="E127" s="4">
        <v>4850</v>
      </c>
      <c r="F127" s="48" t="s">
        <v>290</v>
      </c>
      <c r="G127" s="6">
        <v>3035</v>
      </c>
      <c r="H127" s="26" t="s">
        <v>341</v>
      </c>
      <c r="I127" s="26">
        <v>1500</v>
      </c>
    </row>
    <row r="128" spans="2:9" hidden="1" outlineLevel="1" x14ac:dyDescent="0.25">
      <c r="B128" s="15"/>
      <c r="C128" s="15" t="s">
        <v>296</v>
      </c>
      <c r="D128" s="39" t="s">
        <v>294</v>
      </c>
      <c r="E128" s="4">
        <v>2300</v>
      </c>
      <c r="F128" s="48" t="s">
        <v>293</v>
      </c>
      <c r="G128" s="6">
        <v>1500</v>
      </c>
      <c r="H128" s="26" t="s">
        <v>342</v>
      </c>
      <c r="I128" s="26">
        <v>1300</v>
      </c>
    </row>
    <row r="129" spans="2:9" hidden="1" outlineLevel="1" x14ac:dyDescent="0.25">
      <c r="B129" s="15"/>
      <c r="C129" s="15" t="s">
        <v>295</v>
      </c>
      <c r="E129" s="4">
        <v>250</v>
      </c>
      <c r="G129" s="6">
        <v>200</v>
      </c>
      <c r="H129" s="26"/>
      <c r="I129" s="26">
        <v>200</v>
      </c>
    </row>
    <row r="130" spans="2:9" collapsed="1" x14ac:dyDescent="0.25">
      <c r="B130" s="30"/>
      <c r="C130" s="30"/>
      <c r="D130" s="41"/>
      <c r="E130" s="31">
        <f>(1+$D$448+$D$449)*SUM(E127:E129)</f>
        <v>8214</v>
      </c>
      <c r="F130" s="50"/>
      <c r="G130" s="32">
        <f>(1+$D$448+$D$449)*SUM(G127:G129)</f>
        <v>5255.85</v>
      </c>
      <c r="H130" s="53"/>
      <c r="I130" s="33">
        <f>(1+$D$448+$D$449)*SUM(I127:I129)</f>
        <v>3330.0000000000005</v>
      </c>
    </row>
    <row r="131" spans="2:9" x14ac:dyDescent="0.25">
      <c r="D131" s="38"/>
      <c r="E131"/>
      <c r="F131" s="38"/>
      <c r="G131"/>
      <c r="H131" s="38"/>
      <c r="I131"/>
    </row>
    <row r="132" spans="2:9" x14ac:dyDescent="0.25">
      <c r="B132" s="16" t="s">
        <v>169</v>
      </c>
      <c r="C132" s="15"/>
      <c r="H132" s="26"/>
      <c r="I132" s="26"/>
    </row>
    <row r="133" spans="2:9" hidden="1" outlineLevel="1" x14ac:dyDescent="0.25">
      <c r="B133" s="15"/>
      <c r="C133" s="15" t="s">
        <v>335</v>
      </c>
      <c r="E133" s="4">
        <v>40</v>
      </c>
      <c r="G133" s="6">
        <v>25</v>
      </c>
      <c r="H133" s="26"/>
      <c r="I133" s="26">
        <v>25</v>
      </c>
    </row>
    <row r="134" spans="2:9" hidden="1" outlineLevel="1" x14ac:dyDescent="0.25">
      <c r="B134" s="15"/>
      <c r="C134" s="15" t="s">
        <v>291</v>
      </c>
      <c r="E134" s="4">
        <v>70</v>
      </c>
      <c r="G134" s="6">
        <v>50</v>
      </c>
      <c r="H134" s="26"/>
      <c r="I134" s="26">
        <v>50</v>
      </c>
    </row>
    <row r="135" spans="2:9" hidden="1" outlineLevel="1" x14ac:dyDescent="0.25">
      <c r="B135" s="15"/>
      <c r="C135" s="15" t="s">
        <v>182</v>
      </c>
      <c r="E135" s="4">
        <v>50</v>
      </c>
      <c r="G135" s="6">
        <v>50</v>
      </c>
      <c r="H135" s="26"/>
      <c r="I135" s="26">
        <v>50</v>
      </c>
    </row>
    <row r="136" spans="2:9" hidden="1" outlineLevel="1" x14ac:dyDescent="0.25">
      <c r="B136" s="15"/>
      <c r="C136" s="15" t="s">
        <v>170</v>
      </c>
      <c r="E136" s="4">
        <v>60</v>
      </c>
      <c r="G136" s="6">
        <v>60</v>
      </c>
      <c r="H136" s="26"/>
      <c r="I136" s="26">
        <v>60</v>
      </c>
    </row>
    <row r="137" spans="2:9" hidden="1" outlineLevel="1" x14ac:dyDescent="0.25">
      <c r="B137" s="15"/>
      <c r="C137" s="15" t="s">
        <v>299</v>
      </c>
      <c r="E137" s="4">
        <v>50</v>
      </c>
      <c r="G137" s="6">
        <v>30</v>
      </c>
      <c r="H137" s="26"/>
      <c r="I137" s="26">
        <v>30</v>
      </c>
    </row>
    <row r="138" spans="2:9" hidden="1" outlineLevel="1" x14ac:dyDescent="0.25">
      <c r="B138" s="15"/>
      <c r="C138" s="15" t="s">
        <v>300</v>
      </c>
      <c r="E138" s="4">
        <v>300</v>
      </c>
      <c r="G138" s="6">
        <v>200</v>
      </c>
      <c r="H138" s="26"/>
      <c r="I138" s="26">
        <v>200</v>
      </c>
    </row>
    <row r="139" spans="2:9" hidden="1" outlineLevel="1" x14ac:dyDescent="0.25">
      <c r="B139" s="15"/>
      <c r="C139" s="15" t="s">
        <v>303</v>
      </c>
      <c r="E139" s="4">
        <v>60</v>
      </c>
      <c r="G139" s="6">
        <v>40</v>
      </c>
      <c r="H139" s="26"/>
      <c r="I139" s="26">
        <v>40</v>
      </c>
    </row>
    <row r="140" spans="2:9" hidden="1" outlineLevel="1" x14ac:dyDescent="0.25">
      <c r="B140" s="15"/>
      <c r="C140" s="15" t="s">
        <v>171</v>
      </c>
      <c r="E140" s="4">
        <v>100</v>
      </c>
      <c r="G140" s="6">
        <v>100</v>
      </c>
      <c r="H140" s="26"/>
      <c r="I140" s="26">
        <v>0</v>
      </c>
    </row>
    <row r="141" spans="2:9" collapsed="1" x14ac:dyDescent="0.25">
      <c r="B141" s="30"/>
      <c r="C141" s="30"/>
      <c r="D141" s="41"/>
      <c r="E141" s="31">
        <f>(1+$D$448+$D$449)*SUM(E133:E140)</f>
        <v>810.30000000000007</v>
      </c>
      <c r="F141" s="50"/>
      <c r="G141" s="32">
        <f>(1+$D$448+$D$449)*SUM(G133:G140)</f>
        <v>616.05000000000007</v>
      </c>
      <c r="H141" s="53"/>
      <c r="I141" s="33">
        <f>(1+$D$448+$D$449)*SUM(I133:I140)</f>
        <v>505.05000000000007</v>
      </c>
    </row>
    <row r="142" spans="2:9" x14ac:dyDescent="0.25">
      <c r="B142"/>
      <c r="D142" s="38"/>
      <c r="E142"/>
      <c r="F142" s="38"/>
      <c r="G142"/>
      <c r="H142" s="38"/>
      <c r="I142"/>
    </row>
    <row r="143" spans="2:9" x14ac:dyDescent="0.25">
      <c r="B143" s="20" t="s">
        <v>276</v>
      </c>
      <c r="C143" s="22"/>
      <c r="D143" s="21"/>
      <c r="E143" s="21"/>
      <c r="F143" s="21"/>
      <c r="G143" s="21"/>
      <c r="H143" s="21"/>
      <c r="I143" s="21"/>
    </row>
    <row r="144" spans="2:9" x14ac:dyDescent="0.25">
      <c r="D144" s="38"/>
      <c r="E144"/>
      <c r="F144" s="38"/>
      <c r="G144"/>
      <c r="H144" s="38"/>
      <c r="I144"/>
    </row>
    <row r="145" spans="2:9" x14ac:dyDescent="0.25">
      <c r="B145" s="16" t="s">
        <v>215</v>
      </c>
      <c r="C145" s="15"/>
      <c r="H145" s="26"/>
      <c r="I145" s="26"/>
    </row>
    <row r="146" spans="2:9" hidden="1" outlineLevel="1" x14ac:dyDescent="0.25">
      <c r="B146" s="15"/>
      <c r="C146" s="15" t="s">
        <v>22</v>
      </c>
      <c r="E146" s="4">
        <v>1400</v>
      </c>
      <c r="G146" s="6">
        <v>1400</v>
      </c>
      <c r="H146" s="26"/>
      <c r="I146" s="26">
        <v>1400</v>
      </c>
    </row>
    <row r="147" spans="2:9" hidden="1" outlineLevel="1" x14ac:dyDescent="0.25">
      <c r="B147" s="15"/>
      <c r="C147" s="15" t="s">
        <v>23</v>
      </c>
      <c r="E147" s="4">
        <v>350</v>
      </c>
      <c r="G147" s="6">
        <v>350</v>
      </c>
      <c r="H147" s="26"/>
      <c r="I147" s="26">
        <v>350</v>
      </c>
    </row>
    <row r="148" spans="2:9" hidden="1" outlineLevel="1" x14ac:dyDescent="0.25">
      <c r="B148" s="15"/>
      <c r="C148" s="15" t="s">
        <v>24</v>
      </c>
      <c r="E148" s="4">
        <v>150</v>
      </c>
      <c r="G148" s="6">
        <v>100</v>
      </c>
      <c r="H148" s="26"/>
      <c r="I148" s="26">
        <v>100</v>
      </c>
    </row>
    <row r="149" spans="2:9" collapsed="1" x14ac:dyDescent="0.25">
      <c r="B149" s="30"/>
      <c r="C149" s="30"/>
      <c r="D149" s="41"/>
      <c r="E149" s="31">
        <f>(1+$D$448+$D$449)*SUM(E146:E148)</f>
        <v>2109</v>
      </c>
      <c r="F149" s="50"/>
      <c r="G149" s="32">
        <f>(1+$D$448+$D$449)*SUM(G146:G148)</f>
        <v>2053.5</v>
      </c>
      <c r="H149" s="53"/>
      <c r="I149" s="33">
        <f>(1+$D$448+$D$449)*SUM(I146:I148)</f>
        <v>2053.5</v>
      </c>
    </row>
    <row r="150" spans="2:9" x14ac:dyDescent="0.25">
      <c r="B150"/>
      <c r="D150" s="38"/>
      <c r="E150"/>
      <c r="F150" s="38"/>
      <c r="G150"/>
      <c r="H150" s="38"/>
      <c r="I150"/>
    </row>
    <row r="151" spans="2:9" x14ac:dyDescent="0.25">
      <c r="B151" s="20" t="s">
        <v>277</v>
      </c>
      <c r="C151" s="22"/>
      <c r="D151" s="21"/>
      <c r="E151" s="21"/>
      <c r="F151" s="21"/>
      <c r="G151" s="21"/>
      <c r="H151" s="21"/>
      <c r="I151" s="21"/>
    </row>
    <row r="152" spans="2:9" x14ac:dyDescent="0.25">
      <c r="D152" s="38"/>
      <c r="E152"/>
      <c r="F152" s="38"/>
      <c r="G152"/>
      <c r="H152" s="38"/>
      <c r="I152"/>
    </row>
    <row r="153" spans="2:9" x14ac:dyDescent="0.25">
      <c r="B153" s="16" t="s">
        <v>216</v>
      </c>
      <c r="C153" s="15"/>
      <c r="H153" s="26"/>
      <c r="I153" s="26"/>
    </row>
    <row r="154" spans="2:9" hidden="1" outlineLevel="1" x14ac:dyDescent="0.25">
      <c r="B154" s="15"/>
      <c r="C154" s="15" t="s">
        <v>217</v>
      </c>
      <c r="D154" s="39" t="s">
        <v>219</v>
      </c>
      <c r="E154" s="4">
        <v>1300</v>
      </c>
      <c r="F154" s="48" t="s">
        <v>220</v>
      </c>
      <c r="G154" s="6">
        <v>900</v>
      </c>
      <c r="H154" s="26" t="s">
        <v>220</v>
      </c>
      <c r="I154" s="26">
        <v>900</v>
      </c>
    </row>
    <row r="155" spans="2:9" hidden="1" outlineLevel="1" x14ac:dyDescent="0.25">
      <c r="B155" s="15"/>
      <c r="C155" s="15" t="s">
        <v>229</v>
      </c>
      <c r="D155" s="39" t="s">
        <v>230</v>
      </c>
      <c r="E155" s="4">
        <v>630</v>
      </c>
      <c r="F155" s="48" t="s">
        <v>218</v>
      </c>
      <c r="G155" s="6">
        <v>400</v>
      </c>
      <c r="H155" s="26" t="s">
        <v>218</v>
      </c>
      <c r="I155" s="26">
        <v>0</v>
      </c>
    </row>
    <row r="156" spans="2:9" hidden="1" outlineLevel="1" x14ac:dyDescent="0.25">
      <c r="B156" s="15"/>
      <c r="C156" s="15" t="s">
        <v>240</v>
      </c>
      <c r="E156" s="4">
        <v>200</v>
      </c>
      <c r="G156" s="6">
        <v>100</v>
      </c>
      <c r="H156" s="26"/>
      <c r="I156" s="26">
        <v>100</v>
      </c>
    </row>
    <row r="157" spans="2:9" hidden="1" outlineLevel="1" x14ac:dyDescent="0.25">
      <c r="B157" s="15"/>
      <c r="C157" s="15" t="s">
        <v>512</v>
      </c>
      <c r="E157" s="4">
        <v>250</v>
      </c>
      <c r="G157" s="6">
        <v>250</v>
      </c>
      <c r="H157" s="26"/>
      <c r="I157" s="26">
        <v>0</v>
      </c>
    </row>
    <row r="158" spans="2:9" collapsed="1" x14ac:dyDescent="0.25">
      <c r="B158" s="30"/>
      <c r="C158" s="30"/>
      <c r="D158" s="41"/>
      <c r="E158" s="31">
        <f>(1+$D$448+$D$449)*SUM(E154:E157)</f>
        <v>2641.8</v>
      </c>
      <c r="F158" s="50"/>
      <c r="G158" s="32">
        <f>(1+$D$448+$D$449)*SUM(G154:G157)</f>
        <v>1831.5000000000002</v>
      </c>
      <c r="H158" s="53"/>
      <c r="I158" s="33">
        <f>(1+$D$448+$D$449)*SUM(I154:I157)</f>
        <v>1110</v>
      </c>
    </row>
    <row r="159" spans="2:9" x14ac:dyDescent="0.25">
      <c r="D159" s="38"/>
      <c r="E159"/>
      <c r="F159" s="38"/>
      <c r="G159"/>
      <c r="H159" s="38"/>
      <c r="I159"/>
    </row>
    <row r="160" spans="2:9" x14ac:dyDescent="0.25">
      <c r="B160" s="16" t="s">
        <v>488</v>
      </c>
      <c r="C160" s="15"/>
      <c r="H160" s="26"/>
      <c r="I160" s="26"/>
    </row>
    <row r="161" spans="2:9" hidden="1" outlineLevel="1" x14ac:dyDescent="0.25">
      <c r="B161" s="15"/>
      <c r="C161" s="15" t="s">
        <v>28</v>
      </c>
      <c r="D161" s="39" t="s">
        <v>282</v>
      </c>
      <c r="E161" s="4">
        <v>2800</v>
      </c>
      <c r="F161" s="48" t="s">
        <v>283</v>
      </c>
      <c r="G161" s="6">
        <v>2000</v>
      </c>
      <c r="H161" s="26" t="s">
        <v>283</v>
      </c>
      <c r="I161" s="26">
        <v>2000</v>
      </c>
    </row>
    <row r="162" spans="2:9" hidden="1" outlineLevel="1" x14ac:dyDescent="0.25">
      <c r="B162" s="15"/>
      <c r="C162" s="15" t="s">
        <v>20</v>
      </c>
      <c r="E162" s="4">
        <v>300</v>
      </c>
      <c r="G162" s="6">
        <v>200</v>
      </c>
      <c r="H162" s="26"/>
      <c r="I162" s="26">
        <v>200</v>
      </c>
    </row>
    <row r="163" spans="2:9" hidden="1" outlineLevel="1" x14ac:dyDescent="0.25">
      <c r="B163" s="15"/>
      <c r="C163" s="15" t="s">
        <v>21</v>
      </c>
      <c r="E163" s="4">
        <v>200</v>
      </c>
      <c r="G163" s="6">
        <v>100</v>
      </c>
      <c r="H163" s="26"/>
      <c r="I163" s="26">
        <v>100</v>
      </c>
    </row>
    <row r="164" spans="2:9" hidden="1" outlineLevel="1" x14ac:dyDescent="0.25">
      <c r="B164" s="15"/>
      <c r="C164" s="15" t="s">
        <v>506</v>
      </c>
      <c r="D164" s="39" t="s">
        <v>513</v>
      </c>
      <c r="E164" s="4">
        <v>150</v>
      </c>
      <c r="F164" s="48" t="s">
        <v>513</v>
      </c>
      <c r="G164" s="6">
        <v>150</v>
      </c>
      <c r="H164" s="26"/>
      <c r="I164" s="26">
        <v>0</v>
      </c>
    </row>
    <row r="165" spans="2:9" hidden="1" outlineLevel="1" x14ac:dyDescent="0.25">
      <c r="B165" s="15"/>
      <c r="C165" s="15" t="s">
        <v>507</v>
      </c>
      <c r="D165" s="39" t="s">
        <v>511</v>
      </c>
      <c r="E165" s="4">
        <v>0</v>
      </c>
      <c r="F165" s="48" t="s">
        <v>511</v>
      </c>
      <c r="G165" s="6">
        <v>0</v>
      </c>
      <c r="H165" s="26" t="s">
        <v>508</v>
      </c>
      <c r="I165" s="26">
        <v>120</v>
      </c>
    </row>
    <row r="166" spans="2:9" collapsed="1" x14ac:dyDescent="0.25">
      <c r="B166" s="30"/>
      <c r="C166" s="30"/>
      <c r="D166" s="41"/>
      <c r="E166" s="31">
        <f>(1+$D$448+$D$449)*SUM(E161:E165)</f>
        <v>3829.5000000000005</v>
      </c>
      <c r="F166" s="50"/>
      <c r="G166" s="32">
        <f>(1+$D$448+$D$449)*SUM(G161:G165)</f>
        <v>2719.5000000000005</v>
      </c>
      <c r="H166" s="53"/>
      <c r="I166" s="33">
        <f>(1+$D$448+$D$449)*SUM(I161:I165)</f>
        <v>2686.2000000000003</v>
      </c>
    </row>
    <row r="167" spans="2:9" x14ac:dyDescent="0.25">
      <c r="D167" s="38"/>
      <c r="E167"/>
      <c r="F167" s="38"/>
      <c r="G167"/>
      <c r="H167" s="38"/>
      <c r="I167"/>
    </row>
    <row r="168" spans="2:9" x14ac:dyDescent="0.25">
      <c r="B168" s="16" t="s">
        <v>489</v>
      </c>
      <c r="C168" s="15"/>
      <c r="H168" s="26"/>
      <c r="I168" s="26"/>
    </row>
    <row r="169" spans="2:9" hidden="1" outlineLevel="1" x14ac:dyDescent="0.25">
      <c r="B169" s="15"/>
      <c r="C169" s="15" t="s">
        <v>238</v>
      </c>
      <c r="E169" s="4">
        <v>400</v>
      </c>
      <c r="G169" s="6">
        <v>300</v>
      </c>
      <c r="H169" s="26"/>
      <c r="I169" s="26">
        <v>300</v>
      </c>
    </row>
    <row r="170" spans="2:9" hidden="1" outlineLevel="1" x14ac:dyDescent="0.25">
      <c r="B170" s="15"/>
      <c r="C170" s="15" t="s">
        <v>239</v>
      </c>
      <c r="E170" s="4">
        <v>120</v>
      </c>
      <c r="G170" s="6">
        <v>120</v>
      </c>
      <c r="H170" s="26"/>
      <c r="I170" s="26">
        <v>120</v>
      </c>
    </row>
    <row r="171" spans="2:9" hidden="1" outlineLevel="1" x14ac:dyDescent="0.25">
      <c r="B171" s="15"/>
      <c r="C171" s="15" t="s">
        <v>240</v>
      </c>
      <c r="E171" s="4">
        <v>300</v>
      </c>
      <c r="G171" s="6">
        <v>200</v>
      </c>
      <c r="H171" s="26"/>
      <c r="I171" s="26">
        <v>200</v>
      </c>
    </row>
    <row r="172" spans="2:9" collapsed="1" x14ac:dyDescent="0.25">
      <c r="B172" s="30"/>
      <c r="C172" s="30"/>
      <c r="D172" s="41"/>
      <c r="E172" s="31">
        <f>(1+$D$448+$D$449)*SUM(E169:E171)</f>
        <v>910.2</v>
      </c>
      <c r="F172" s="50"/>
      <c r="G172" s="32">
        <f>(1+$D$448+$D$449)*SUM(G169:G171)</f>
        <v>688.2</v>
      </c>
      <c r="H172" s="53"/>
      <c r="I172" s="33">
        <f>(1+$D$448+$D$449)*SUM(I169:I171)</f>
        <v>688.2</v>
      </c>
    </row>
    <row r="173" spans="2:9" x14ac:dyDescent="0.25">
      <c r="D173" s="38"/>
      <c r="E173"/>
      <c r="F173" s="38"/>
      <c r="G173"/>
      <c r="H173" s="38"/>
      <c r="I173"/>
    </row>
    <row r="174" spans="2:9" x14ac:dyDescent="0.25">
      <c r="B174" s="20" t="s">
        <v>278</v>
      </c>
      <c r="C174" s="22"/>
      <c r="D174" s="21"/>
      <c r="E174" s="21"/>
      <c r="F174" s="21"/>
      <c r="G174" s="21"/>
      <c r="H174" s="21"/>
      <c r="I174" s="21"/>
    </row>
    <row r="175" spans="2:9" x14ac:dyDescent="0.25">
      <c r="D175" s="38"/>
      <c r="E175"/>
      <c r="F175" s="38"/>
      <c r="G175"/>
      <c r="H175" s="38"/>
      <c r="I175"/>
    </row>
    <row r="176" spans="2:9" x14ac:dyDescent="0.25">
      <c r="B176" s="16" t="s">
        <v>33</v>
      </c>
      <c r="C176" s="15"/>
      <c r="H176" s="26"/>
      <c r="I176" s="26"/>
    </row>
    <row r="177" spans="2:11" hidden="1" outlineLevel="1" x14ac:dyDescent="0.25">
      <c r="B177" s="15"/>
      <c r="C177" s="15" t="s">
        <v>31</v>
      </c>
      <c r="E177" s="4">
        <v>130</v>
      </c>
      <c r="G177" s="6">
        <v>60</v>
      </c>
      <c r="H177" s="26"/>
      <c r="I177" s="26">
        <v>60</v>
      </c>
    </row>
    <row r="178" spans="2:11" hidden="1" outlineLevel="1" x14ac:dyDescent="0.25">
      <c r="B178" s="15"/>
      <c r="C178" s="15" t="s">
        <v>32</v>
      </c>
      <c r="E178" s="4">
        <v>140</v>
      </c>
      <c r="G178" s="6">
        <v>60</v>
      </c>
      <c r="H178" s="26"/>
      <c r="I178" s="26">
        <v>0</v>
      </c>
    </row>
    <row r="179" spans="2:11" hidden="1" outlineLevel="1" x14ac:dyDescent="0.25">
      <c r="B179" s="15"/>
      <c r="C179" s="15" t="s">
        <v>35</v>
      </c>
      <c r="E179" s="4">
        <v>140</v>
      </c>
      <c r="G179" s="6">
        <v>80</v>
      </c>
      <c r="H179" s="26"/>
      <c r="I179" s="26">
        <v>80</v>
      </c>
      <c r="K179" s="3"/>
    </row>
    <row r="180" spans="2:11" hidden="1" outlineLevel="1" x14ac:dyDescent="0.25">
      <c r="B180" s="15"/>
      <c r="C180" s="15" t="s">
        <v>36</v>
      </c>
      <c r="E180" s="4">
        <v>100</v>
      </c>
      <c r="G180" s="6">
        <v>70</v>
      </c>
      <c r="H180" s="26"/>
      <c r="I180" s="26">
        <v>70</v>
      </c>
      <c r="K180" s="3"/>
    </row>
    <row r="181" spans="2:11" hidden="1" outlineLevel="1" x14ac:dyDescent="0.25">
      <c r="B181" s="15"/>
      <c r="C181" s="15" t="s">
        <v>42</v>
      </c>
      <c r="E181" s="4">
        <v>150</v>
      </c>
      <c r="G181" s="6">
        <v>85</v>
      </c>
      <c r="H181" s="26"/>
      <c r="I181" s="26">
        <v>85</v>
      </c>
      <c r="K181" s="3"/>
    </row>
    <row r="182" spans="2:11" hidden="1" outlineLevel="1" x14ac:dyDescent="0.25">
      <c r="B182" s="15"/>
      <c r="C182" s="15" t="s">
        <v>37</v>
      </c>
      <c r="E182" s="4">
        <v>130</v>
      </c>
      <c r="G182" s="6">
        <v>60</v>
      </c>
      <c r="H182" s="26"/>
      <c r="I182" s="26">
        <v>60</v>
      </c>
      <c r="K182" s="3"/>
    </row>
    <row r="183" spans="2:11" hidden="1" outlineLevel="1" x14ac:dyDescent="0.25">
      <c r="B183" s="15"/>
      <c r="C183" s="15" t="s">
        <v>47</v>
      </c>
      <c r="E183" s="4">
        <v>55</v>
      </c>
      <c r="G183" s="6">
        <v>60</v>
      </c>
      <c r="H183" s="26"/>
      <c r="I183" s="26">
        <v>0</v>
      </c>
      <c r="K183" s="3"/>
    </row>
    <row r="184" spans="2:11" hidden="1" outlineLevel="1" x14ac:dyDescent="0.25">
      <c r="B184" s="15"/>
      <c r="C184" s="15" t="s">
        <v>61</v>
      </c>
      <c r="E184" s="4">
        <v>55</v>
      </c>
      <c r="G184" s="6">
        <v>50</v>
      </c>
      <c r="H184" s="26"/>
      <c r="I184" s="26">
        <v>50</v>
      </c>
      <c r="K184" s="3"/>
    </row>
    <row r="185" spans="2:11" hidden="1" outlineLevel="1" x14ac:dyDescent="0.25">
      <c r="B185" s="15"/>
      <c r="C185" s="15" t="s">
        <v>62</v>
      </c>
      <c r="E185" s="4">
        <v>80</v>
      </c>
      <c r="G185" s="6">
        <v>80</v>
      </c>
      <c r="H185" s="26"/>
      <c r="I185" s="26">
        <v>0</v>
      </c>
      <c r="K185" s="3"/>
    </row>
    <row r="186" spans="2:11" hidden="1" outlineLevel="1" x14ac:dyDescent="0.25">
      <c r="B186" s="15"/>
      <c r="C186" s="15" t="s">
        <v>63</v>
      </c>
      <c r="E186" s="4">
        <v>50</v>
      </c>
      <c r="G186" s="6">
        <v>30</v>
      </c>
      <c r="H186" s="26"/>
      <c r="I186" s="26">
        <v>30</v>
      </c>
      <c r="K186" s="3"/>
    </row>
    <row r="187" spans="2:11" hidden="1" outlineLevel="1" x14ac:dyDescent="0.25">
      <c r="B187" s="15"/>
      <c r="C187" s="15" t="s">
        <v>34</v>
      </c>
      <c r="E187" s="4">
        <v>150</v>
      </c>
      <c r="G187" s="6">
        <v>60</v>
      </c>
      <c r="H187" s="26"/>
      <c r="I187" s="26">
        <v>60</v>
      </c>
      <c r="K187" s="3"/>
    </row>
    <row r="188" spans="2:11" hidden="1" outlineLevel="1" x14ac:dyDescent="0.25">
      <c r="B188" s="15"/>
      <c r="C188" s="15" t="s">
        <v>38</v>
      </c>
      <c r="E188" s="4">
        <v>25</v>
      </c>
      <c r="G188" s="6">
        <v>25</v>
      </c>
      <c r="H188" s="26"/>
      <c r="I188" s="26">
        <v>25</v>
      </c>
    </row>
    <row r="189" spans="2:11" hidden="1" outlineLevel="1" x14ac:dyDescent="0.25">
      <c r="B189" s="15"/>
      <c r="C189" s="15" t="s">
        <v>109</v>
      </c>
      <c r="E189" s="4">
        <v>30</v>
      </c>
      <c r="G189" s="6">
        <v>20</v>
      </c>
      <c r="H189" s="26"/>
      <c r="I189" s="26">
        <v>20</v>
      </c>
    </row>
    <row r="190" spans="2:11" hidden="1" outlineLevel="1" x14ac:dyDescent="0.25">
      <c r="B190" s="16" t="s">
        <v>60</v>
      </c>
      <c r="C190" s="15"/>
      <c r="H190" s="26"/>
      <c r="I190" s="26"/>
      <c r="K190" s="3"/>
    </row>
    <row r="191" spans="2:11" hidden="1" outlineLevel="1" x14ac:dyDescent="0.25">
      <c r="B191" s="15"/>
      <c r="C191" s="15" t="s">
        <v>49</v>
      </c>
      <c r="E191" s="4">
        <v>67</v>
      </c>
      <c r="G191" s="6">
        <v>67</v>
      </c>
      <c r="H191" s="26"/>
      <c r="I191" s="26">
        <v>67</v>
      </c>
      <c r="K191" s="3"/>
    </row>
    <row r="192" spans="2:11" hidden="1" outlineLevel="1" x14ac:dyDescent="0.25">
      <c r="B192" s="15"/>
      <c r="C192" s="15" t="s">
        <v>50</v>
      </c>
      <c r="E192" s="4">
        <v>40</v>
      </c>
      <c r="G192" s="6">
        <v>40</v>
      </c>
      <c r="H192" s="26"/>
      <c r="I192" s="26">
        <v>0</v>
      </c>
      <c r="K192" s="3"/>
    </row>
    <row r="193" spans="2:9" hidden="1" outlineLevel="1" x14ac:dyDescent="0.25">
      <c r="B193" s="15"/>
      <c r="C193" s="15" t="s">
        <v>51</v>
      </c>
      <c r="E193" s="4">
        <v>45</v>
      </c>
      <c r="G193" s="6">
        <v>45</v>
      </c>
      <c r="H193" s="26"/>
      <c r="I193" s="26">
        <v>45</v>
      </c>
    </row>
    <row r="194" spans="2:9" hidden="1" outlineLevel="1" x14ac:dyDescent="0.25">
      <c r="B194" s="15"/>
      <c r="C194" s="15" t="s">
        <v>52</v>
      </c>
      <c r="D194" s="39" t="s">
        <v>226</v>
      </c>
      <c r="E194" s="4">
        <v>165</v>
      </c>
      <c r="F194" s="48" t="s">
        <v>225</v>
      </c>
      <c r="G194" s="6">
        <v>110</v>
      </c>
      <c r="H194" s="26" t="s">
        <v>225</v>
      </c>
      <c r="I194" s="26">
        <v>110</v>
      </c>
    </row>
    <row r="195" spans="2:9" hidden="1" outlineLevel="1" x14ac:dyDescent="0.25">
      <c r="B195" s="15"/>
      <c r="C195" s="15" t="s">
        <v>53</v>
      </c>
      <c r="E195" s="4">
        <v>85</v>
      </c>
      <c r="G195" s="6">
        <v>85</v>
      </c>
      <c r="H195" s="26"/>
      <c r="I195" s="26">
        <v>85</v>
      </c>
    </row>
    <row r="196" spans="2:9" hidden="1" outlineLevel="1" x14ac:dyDescent="0.25">
      <c r="B196" s="15"/>
      <c r="C196" s="15" t="s">
        <v>54</v>
      </c>
      <c r="E196" s="4">
        <v>30</v>
      </c>
      <c r="G196" s="6">
        <v>60</v>
      </c>
      <c r="H196" s="26"/>
      <c r="I196" s="26">
        <v>0</v>
      </c>
    </row>
    <row r="197" spans="2:9" hidden="1" outlineLevel="1" x14ac:dyDescent="0.25">
      <c r="B197" s="15"/>
      <c r="C197" s="15" t="s">
        <v>55</v>
      </c>
      <c r="D197" s="39" t="s">
        <v>227</v>
      </c>
      <c r="E197" s="4">
        <v>0</v>
      </c>
      <c r="F197" s="48" t="s">
        <v>224</v>
      </c>
      <c r="G197" s="6">
        <v>120</v>
      </c>
      <c r="H197" s="26" t="s">
        <v>224</v>
      </c>
      <c r="I197" s="26">
        <v>120</v>
      </c>
    </row>
    <row r="198" spans="2:9" hidden="1" outlineLevel="1" x14ac:dyDescent="0.25">
      <c r="B198" s="15"/>
      <c r="C198" s="15" t="s">
        <v>228</v>
      </c>
      <c r="E198" s="4">
        <v>40</v>
      </c>
      <c r="G198" s="6">
        <v>40</v>
      </c>
      <c r="H198" s="26"/>
      <c r="I198" s="26">
        <v>0</v>
      </c>
    </row>
    <row r="199" spans="2:9" hidden="1" outlineLevel="1" x14ac:dyDescent="0.25">
      <c r="B199" s="16" t="s">
        <v>132</v>
      </c>
      <c r="C199" s="15"/>
      <c r="H199" s="26"/>
      <c r="I199" s="26"/>
    </row>
    <row r="200" spans="2:9" hidden="1" outlineLevel="1" x14ac:dyDescent="0.25">
      <c r="B200" s="15"/>
      <c r="C200" s="15" t="s">
        <v>95</v>
      </c>
      <c r="E200" s="4">
        <v>100</v>
      </c>
      <c r="G200" s="6">
        <v>50</v>
      </c>
      <c r="H200" s="26"/>
      <c r="I200" s="26">
        <v>50</v>
      </c>
    </row>
    <row r="201" spans="2:9" hidden="1" outlineLevel="1" x14ac:dyDescent="0.25">
      <c r="B201" s="15"/>
      <c r="C201" s="15" t="s">
        <v>131</v>
      </c>
      <c r="E201" s="4">
        <v>30</v>
      </c>
      <c r="G201" s="6">
        <v>20</v>
      </c>
      <c r="H201" s="26"/>
      <c r="I201" s="26">
        <v>20</v>
      </c>
    </row>
    <row r="202" spans="2:9" hidden="1" outlineLevel="1" x14ac:dyDescent="0.25">
      <c r="B202" s="15"/>
      <c r="C202" s="15" t="s">
        <v>141</v>
      </c>
      <c r="E202" s="4">
        <v>20</v>
      </c>
      <c r="G202" s="6">
        <v>15</v>
      </c>
      <c r="H202" s="26"/>
      <c r="I202" s="26">
        <v>15</v>
      </c>
    </row>
    <row r="203" spans="2:9" hidden="1" outlineLevel="1" x14ac:dyDescent="0.25">
      <c r="B203" s="15"/>
      <c r="C203" s="15" t="s">
        <v>134</v>
      </c>
      <c r="E203" s="4">
        <v>40</v>
      </c>
      <c r="G203" s="6">
        <v>25</v>
      </c>
      <c r="H203" s="26"/>
      <c r="I203" s="26">
        <v>25</v>
      </c>
    </row>
    <row r="204" spans="2:9" hidden="1" outlineLevel="1" x14ac:dyDescent="0.25">
      <c r="B204" s="15"/>
      <c r="C204" s="15" t="s">
        <v>133</v>
      </c>
      <c r="E204" s="4">
        <v>50</v>
      </c>
      <c r="G204" s="6">
        <v>30</v>
      </c>
      <c r="H204" s="26"/>
      <c r="I204" s="26">
        <v>30</v>
      </c>
    </row>
    <row r="205" spans="2:9" hidden="1" outlineLevel="1" x14ac:dyDescent="0.25">
      <c r="B205" s="15"/>
      <c r="C205" s="15" t="s">
        <v>135</v>
      </c>
      <c r="E205" s="4">
        <v>30</v>
      </c>
      <c r="G205" s="6">
        <v>20</v>
      </c>
      <c r="H205" s="26"/>
      <c r="I205" s="26">
        <v>20</v>
      </c>
    </row>
    <row r="206" spans="2:9" hidden="1" outlineLevel="1" x14ac:dyDescent="0.25">
      <c r="B206" s="15"/>
      <c r="C206" s="15" t="s">
        <v>136</v>
      </c>
      <c r="E206" s="4">
        <v>30</v>
      </c>
      <c r="G206" s="6">
        <v>20</v>
      </c>
      <c r="H206" s="26"/>
      <c r="I206" s="26">
        <v>20</v>
      </c>
    </row>
    <row r="207" spans="2:9" hidden="1" outlineLevel="1" x14ac:dyDescent="0.25">
      <c r="B207" s="15"/>
      <c r="C207" s="15" t="s">
        <v>137</v>
      </c>
      <c r="E207" s="4">
        <v>20</v>
      </c>
      <c r="G207" s="6">
        <v>10</v>
      </c>
      <c r="H207" s="26"/>
      <c r="I207" s="26">
        <v>10</v>
      </c>
    </row>
    <row r="208" spans="2:9" hidden="1" outlineLevel="1" x14ac:dyDescent="0.25">
      <c r="B208" s="15"/>
      <c r="C208" s="15" t="s">
        <v>138</v>
      </c>
      <c r="E208" s="4">
        <v>30</v>
      </c>
      <c r="G208" s="6">
        <v>20</v>
      </c>
      <c r="H208" s="26"/>
      <c r="I208" s="26">
        <v>20</v>
      </c>
    </row>
    <row r="209" spans="2:9" hidden="1" outlineLevel="1" x14ac:dyDescent="0.25">
      <c r="B209" s="16" t="s">
        <v>107</v>
      </c>
      <c r="C209" s="15"/>
      <c r="H209" s="26"/>
      <c r="I209" s="26"/>
    </row>
    <row r="210" spans="2:9" hidden="1" outlineLevel="1" x14ac:dyDescent="0.25">
      <c r="B210" s="15"/>
      <c r="C210" s="15" t="s">
        <v>46</v>
      </c>
      <c r="E210" s="4">
        <v>50</v>
      </c>
      <c r="G210" s="6">
        <v>40</v>
      </c>
      <c r="H210" s="26"/>
      <c r="I210" s="26">
        <v>0</v>
      </c>
    </row>
    <row r="211" spans="2:9" hidden="1" outlineLevel="1" x14ac:dyDescent="0.25">
      <c r="B211" s="15"/>
      <c r="C211" s="15" t="s">
        <v>48</v>
      </c>
      <c r="E211" s="4">
        <v>125</v>
      </c>
      <c r="G211" s="6">
        <v>50</v>
      </c>
      <c r="H211" s="26"/>
      <c r="I211" s="26">
        <v>50</v>
      </c>
    </row>
    <row r="212" spans="2:9" hidden="1" outlineLevel="1" x14ac:dyDescent="0.25">
      <c r="B212" s="15"/>
      <c r="C212" s="15" t="s">
        <v>99</v>
      </c>
      <c r="E212" s="4">
        <v>50</v>
      </c>
      <c r="G212" s="6">
        <v>30</v>
      </c>
      <c r="H212" s="26"/>
      <c r="I212" s="26">
        <v>30</v>
      </c>
    </row>
    <row r="213" spans="2:9" hidden="1" outlineLevel="1" x14ac:dyDescent="0.25">
      <c r="B213" s="15"/>
      <c r="C213" s="15" t="s">
        <v>195</v>
      </c>
      <c r="E213" s="4">
        <v>50</v>
      </c>
      <c r="G213" s="6">
        <v>30</v>
      </c>
      <c r="H213" s="26"/>
      <c r="I213" s="26">
        <v>30</v>
      </c>
    </row>
    <row r="214" spans="2:9" collapsed="1" x14ac:dyDescent="0.25">
      <c r="B214" s="30"/>
      <c r="C214" s="30"/>
      <c r="D214" s="41" t="s">
        <v>233</v>
      </c>
      <c r="E214" s="31">
        <f>(1+$D$448+$D$449)*SUM(E177:E213)</f>
        <v>2588.5200000000004</v>
      </c>
      <c r="F214" s="50" t="s">
        <v>223</v>
      </c>
      <c r="G214" s="32">
        <f>(1+$D$448+$D$449)*SUM(G177:G213)</f>
        <v>1850.3700000000001</v>
      </c>
      <c r="H214" s="53"/>
      <c r="I214" s="33">
        <f>(1+$D$448+$D$449)*SUM(I177:I213)</f>
        <v>1428.5700000000002</v>
      </c>
    </row>
    <row r="215" spans="2:9" x14ac:dyDescent="0.25">
      <c r="D215" s="38"/>
      <c r="E215"/>
      <c r="F215" s="38"/>
      <c r="G215"/>
      <c r="H215" s="38"/>
      <c r="I215"/>
    </row>
    <row r="216" spans="2:9" x14ac:dyDescent="0.25">
      <c r="B216" s="16" t="s">
        <v>105</v>
      </c>
      <c r="C216" s="15"/>
      <c r="H216" s="26"/>
      <c r="I216" s="26"/>
    </row>
    <row r="217" spans="2:9" hidden="1" outlineLevel="1" x14ac:dyDescent="0.25">
      <c r="B217" s="15"/>
      <c r="C217" s="15" t="s">
        <v>149</v>
      </c>
      <c r="E217" s="4">
        <v>80</v>
      </c>
      <c r="G217" s="6">
        <v>60</v>
      </c>
      <c r="H217" s="26"/>
      <c r="I217" s="26">
        <v>60</v>
      </c>
    </row>
    <row r="218" spans="2:9" hidden="1" outlineLevel="1" x14ac:dyDescent="0.25">
      <c r="B218" s="15"/>
      <c r="C218" s="15" t="s">
        <v>150</v>
      </c>
      <c r="E218" s="4">
        <v>200</v>
      </c>
      <c r="G218" s="6">
        <v>100</v>
      </c>
      <c r="H218" s="26"/>
      <c r="I218" s="26">
        <v>100</v>
      </c>
    </row>
    <row r="219" spans="2:9" hidden="1" outlineLevel="1" x14ac:dyDescent="0.25">
      <c r="B219" s="15"/>
      <c r="C219" s="15" t="s">
        <v>153</v>
      </c>
      <c r="E219" s="4">
        <v>25</v>
      </c>
      <c r="G219" s="6">
        <v>25</v>
      </c>
      <c r="H219" s="26"/>
      <c r="I219" s="26">
        <v>25</v>
      </c>
    </row>
    <row r="220" spans="2:9" hidden="1" outlineLevel="1" x14ac:dyDescent="0.25">
      <c r="B220" s="15"/>
      <c r="C220" s="15" t="s">
        <v>110</v>
      </c>
      <c r="E220" s="4">
        <v>50</v>
      </c>
      <c r="G220" s="6">
        <v>30</v>
      </c>
      <c r="H220" s="26"/>
      <c r="I220" s="26">
        <v>30</v>
      </c>
    </row>
    <row r="221" spans="2:9" hidden="1" outlineLevel="1" x14ac:dyDescent="0.25">
      <c r="B221" s="15"/>
      <c r="C221" s="15" t="s">
        <v>155</v>
      </c>
      <c r="E221" s="4">
        <v>10</v>
      </c>
      <c r="G221" s="6">
        <v>10</v>
      </c>
      <c r="H221" s="26"/>
      <c r="I221" s="26">
        <v>10</v>
      </c>
    </row>
    <row r="222" spans="2:9" hidden="1" outlineLevel="1" x14ac:dyDescent="0.25">
      <c r="B222" s="15"/>
      <c r="C222" s="15" t="s">
        <v>154</v>
      </c>
      <c r="E222" s="4">
        <v>30</v>
      </c>
      <c r="G222" s="6">
        <v>20</v>
      </c>
      <c r="H222" s="26"/>
      <c r="I222" s="26">
        <v>20</v>
      </c>
    </row>
    <row r="223" spans="2:9" hidden="1" outlineLevel="1" x14ac:dyDescent="0.25">
      <c r="B223" s="15"/>
      <c r="C223" s="15" t="s">
        <v>152</v>
      </c>
      <c r="E223" s="4">
        <v>80</v>
      </c>
      <c r="G223" s="6">
        <v>50</v>
      </c>
      <c r="H223" s="26"/>
      <c r="I223" s="26">
        <v>50</v>
      </c>
    </row>
    <row r="224" spans="2:9" hidden="1" outlineLevel="1" x14ac:dyDescent="0.25">
      <c r="B224" s="15"/>
      <c r="C224" s="15" t="s">
        <v>156</v>
      </c>
      <c r="E224" s="4">
        <v>50</v>
      </c>
      <c r="G224" s="6">
        <v>25</v>
      </c>
      <c r="H224" s="26"/>
      <c r="I224" s="26">
        <v>25</v>
      </c>
    </row>
    <row r="225" spans="2:9" hidden="1" outlineLevel="1" x14ac:dyDescent="0.25">
      <c r="B225" s="15"/>
      <c r="C225" s="15" t="s">
        <v>157</v>
      </c>
      <c r="E225" s="4">
        <v>40</v>
      </c>
      <c r="G225" s="6">
        <v>30</v>
      </c>
      <c r="H225" s="26"/>
      <c r="I225" s="26">
        <v>30</v>
      </c>
    </row>
    <row r="226" spans="2:9" hidden="1" outlineLevel="1" x14ac:dyDescent="0.25">
      <c r="B226" s="15"/>
      <c r="C226" s="15" t="s">
        <v>112</v>
      </c>
      <c r="E226" s="4">
        <v>120</v>
      </c>
      <c r="G226" s="6">
        <v>30</v>
      </c>
      <c r="H226" s="26"/>
      <c r="I226" s="26">
        <v>30</v>
      </c>
    </row>
    <row r="227" spans="2:9" hidden="1" outlineLevel="1" x14ac:dyDescent="0.25">
      <c r="B227" s="15"/>
      <c r="C227" s="15" t="s">
        <v>151</v>
      </c>
      <c r="E227" s="4">
        <v>20</v>
      </c>
      <c r="G227" s="6">
        <v>20</v>
      </c>
      <c r="H227" s="26"/>
      <c r="I227" s="26">
        <v>20</v>
      </c>
    </row>
    <row r="228" spans="2:9" hidden="1" outlineLevel="1" x14ac:dyDescent="0.25">
      <c r="B228" s="15"/>
      <c r="C228" s="15" t="s">
        <v>125</v>
      </c>
      <c r="E228" s="4">
        <v>15</v>
      </c>
      <c r="G228" s="6">
        <v>15</v>
      </c>
      <c r="H228" s="26"/>
      <c r="I228" s="26">
        <v>15</v>
      </c>
    </row>
    <row r="229" spans="2:9" hidden="1" outlineLevel="1" x14ac:dyDescent="0.25">
      <c r="B229" s="15"/>
      <c r="C229" s="15" t="s">
        <v>158</v>
      </c>
      <c r="E229" s="4">
        <v>40</v>
      </c>
      <c r="G229" s="6">
        <v>30</v>
      </c>
      <c r="H229" s="26"/>
      <c r="I229" s="26">
        <v>30</v>
      </c>
    </row>
    <row r="230" spans="2:9" hidden="1" outlineLevel="1" x14ac:dyDescent="0.25">
      <c r="B230" s="15"/>
      <c r="C230" s="15" t="s">
        <v>114</v>
      </c>
      <c r="E230" s="4">
        <v>20</v>
      </c>
      <c r="G230" s="6">
        <v>20</v>
      </c>
      <c r="H230" s="26"/>
      <c r="I230" s="26">
        <v>20</v>
      </c>
    </row>
    <row r="231" spans="2:9" hidden="1" outlineLevel="1" x14ac:dyDescent="0.25">
      <c r="B231" s="15"/>
      <c r="C231" s="15" t="s">
        <v>115</v>
      </c>
      <c r="E231" s="4">
        <v>50</v>
      </c>
      <c r="G231" s="6">
        <v>40</v>
      </c>
      <c r="H231" s="26"/>
      <c r="I231" s="26">
        <v>40</v>
      </c>
    </row>
    <row r="232" spans="2:9" hidden="1" outlineLevel="1" x14ac:dyDescent="0.25">
      <c r="B232" s="15"/>
      <c r="C232" s="15" t="s">
        <v>91</v>
      </c>
      <c r="E232" s="4">
        <v>20</v>
      </c>
      <c r="G232" s="6">
        <v>10</v>
      </c>
      <c r="H232" s="26"/>
      <c r="I232" s="26">
        <v>10</v>
      </c>
    </row>
    <row r="233" spans="2:9" hidden="1" outlineLevel="1" x14ac:dyDescent="0.25">
      <c r="B233" s="15"/>
      <c r="C233" s="15" t="s">
        <v>118</v>
      </c>
      <c r="E233" s="4">
        <v>30</v>
      </c>
      <c r="G233" s="6">
        <v>20</v>
      </c>
      <c r="H233" s="26"/>
      <c r="I233" s="26">
        <v>20</v>
      </c>
    </row>
    <row r="234" spans="2:9" hidden="1" outlineLevel="1" x14ac:dyDescent="0.25">
      <c r="B234" s="15"/>
      <c r="C234" s="15" t="s">
        <v>160</v>
      </c>
      <c r="E234" s="4">
        <v>150</v>
      </c>
      <c r="G234" s="6">
        <v>150</v>
      </c>
      <c r="H234" s="26"/>
      <c r="I234" s="26">
        <v>0</v>
      </c>
    </row>
    <row r="235" spans="2:9" hidden="1" outlineLevel="1" x14ac:dyDescent="0.25">
      <c r="B235" s="15"/>
      <c r="C235" s="15" t="s">
        <v>161</v>
      </c>
      <c r="E235" s="4">
        <v>100</v>
      </c>
      <c r="G235" s="6">
        <v>50</v>
      </c>
      <c r="H235" s="26"/>
      <c r="I235" s="26">
        <v>50</v>
      </c>
    </row>
    <row r="236" spans="2:9" hidden="1" outlineLevel="1" x14ac:dyDescent="0.25">
      <c r="B236" s="15"/>
      <c r="C236" s="15" t="s">
        <v>119</v>
      </c>
      <c r="E236" s="4">
        <v>140</v>
      </c>
      <c r="G236" s="6">
        <v>65</v>
      </c>
      <c r="H236" s="26"/>
      <c r="I236" s="26">
        <v>65</v>
      </c>
    </row>
    <row r="237" spans="2:9" hidden="1" outlineLevel="1" x14ac:dyDescent="0.25">
      <c r="B237" s="15"/>
      <c r="C237" s="15" t="s">
        <v>84</v>
      </c>
      <c r="E237" s="4">
        <v>100</v>
      </c>
      <c r="G237" s="6">
        <v>90</v>
      </c>
      <c r="H237" s="26"/>
      <c r="I237" s="26">
        <v>90</v>
      </c>
    </row>
    <row r="238" spans="2:9" hidden="1" outlineLevel="1" x14ac:dyDescent="0.25">
      <c r="B238" s="15"/>
      <c r="C238" s="15" t="s">
        <v>106</v>
      </c>
      <c r="E238" s="4">
        <v>20</v>
      </c>
      <c r="G238" s="6">
        <v>15</v>
      </c>
      <c r="H238" s="26"/>
      <c r="I238" s="26">
        <v>15</v>
      </c>
    </row>
    <row r="239" spans="2:9" hidden="1" outlineLevel="1" x14ac:dyDescent="0.25">
      <c r="B239" s="15"/>
      <c r="C239" s="15" t="s">
        <v>88</v>
      </c>
      <c r="E239" s="4">
        <v>100</v>
      </c>
      <c r="G239" s="6">
        <v>80</v>
      </c>
      <c r="H239" s="26"/>
      <c r="I239" s="26">
        <v>80</v>
      </c>
    </row>
    <row r="240" spans="2:9" hidden="1" outlineLevel="1" x14ac:dyDescent="0.25">
      <c r="B240" s="15"/>
      <c r="C240" s="15" t="s">
        <v>81</v>
      </c>
      <c r="E240" s="4">
        <v>50</v>
      </c>
      <c r="G240" s="6">
        <v>30</v>
      </c>
      <c r="H240" s="26"/>
      <c r="I240" s="26">
        <v>30</v>
      </c>
    </row>
    <row r="241" spans="2:9" hidden="1" outlineLevel="1" x14ac:dyDescent="0.25">
      <c r="B241" s="15"/>
      <c r="C241" s="15" t="s">
        <v>96</v>
      </c>
      <c r="E241" s="4">
        <v>35</v>
      </c>
      <c r="G241" s="6">
        <v>15</v>
      </c>
      <c r="H241" s="26"/>
      <c r="I241" s="26">
        <v>15</v>
      </c>
    </row>
    <row r="242" spans="2:9" hidden="1" outlineLevel="1" x14ac:dyDescent="0.25">
      <c r="B242" s="15"/>
      <c r="C242" s="15" t="s">
        <v>126</v>
      </c>
      <c r="E242" s="4">
        <v>40</v>
      </c>
      <c r="G242" s="6">
        <v>40</v>
      </c>
      <c r="H242" s="26"/>
      <c r="I242" s="26">
        <v>0</v>
      </c>
    </row>
    <row r="243" spans="2:9" hidden="1" outlineLevel="1" x14ac:dyDescent="0.25">
      <c r="B243" s="15"/>
      <c r="C243" s="15" t="s">
        <v>142</v>
      </c>
      <c r="E243" s="4">
        <v>11</v>
      </c>
      <c r="G243" s="6">
        <v>11</v>
      </c>
      <c r="H243" s="26"/>
      <c r="I243" s="26">
        <v>11</v>
      </c>
    </row>
    <row r="244" spans="2:9" hidden="1" outlineLevel="1" x14ac:dyDescent="0.25">
      <c r="B244" s="15"/>
      <c r="C244" s="15" t="s">
        <v>143</v>
      </c>
      <c r="E244" s="4">
        <v>15</v>
      </c>
      <c r="G244" s="6">
        <v>15</v>
      </c>
      <c r="H244" s="26"/>
      <c r="I244" s="26">
        <v>15</v>
      </c>
    </row>
    <row r="245" spans="2:9" hidden="1" outlineLevel="1" x14ac:dyDescent="0.25">
      <c r="B245" s="15"/>
      <c r="C245" s="15" t="s">
        <v>108</v>
      </c>
      <c r="E245" s="4">
        <v>20</v>
      </c>
      <c r="G245" s="6">
        <v>10</v>
      </c>
      <c r="H245" s="26"/>
      <c r="I245" s="26">
        <v>10</v>
      </c>
    </row>
    <row r="246" spans="2:9" hidden="1" outlineLevel="1" x14ac:dyDescent="0.25">
      <c r="B246" s="15"/>
      <c r="C246" s="15" t="s">
        <v>166</v>
      </c>
      <c r="E246" s="4">
        <v>10</v>
      </c>
      <c r="G246" s="6">
        <v>10</v>
      </c>
      <c r="H246" s="26"/>
      <c r="I246" s="26">
        <v>10</v>
      </c>
    </row>
    <row r="247" spans="2:9" hidden="1" outlineLevel="1" x14ac:dyDescent="0.25">
      <c r="B247" s="15"/>
      <c r="C247" s="15" t="s">
        <v>184</v>
      </c>
      <c r="E247" s="4">
        <v>30</v>
      </c>
      <c r="G247" s="6">
        <v>20</v>
      </c>
      <c r="H247" s="26"/>
      <c r="I247" s="26">
        <v>20</v>
      </c>
    </row>
    <row r="248" spans="2:9" hidden="1" outlineLevel="1" x14ac:dyDescent="0.25">
      <c r="B248" s="15"/>
      <c r="C248" s="15" t="s">
        <v>200</v>
      </c>
      <c r="E248" s="4">
        <v>30</v>
      </c>
      <c r="G248" s="6">
        <v>20</v>
      </c>
      <c r="H248" s="26"/>
      <c r="I248" s="26">
        <v>20</v>
      </c>
    </row>
    <row r="249" spans="2:9" hidden="1" outlineLevel="1" x14ac:dyDescent="0.25">
      <c r="B249" s="15"/>
      <c r="C249" s="15" t="s">
        <v>120</v>
      </c>
      <c r="E249" s="4">
        <v>200</v>
      </c>
      <c r="G249" s="6">
        <v>30</v>
      </c>
      <c r="H249" s="26"/>
      <c r="I249" s="26">
        <v>30</v>
      </c>
    </row>
    <row r="250" spans="2:9" hidden="1" outlineLevel="1" x14ac:dyDescent="0.25">
      <c r="B250" s="16" t="s">
        <v>194</v>
      </c>
      <c r="C250" s="15"/>
      <c r="H250" s="26"/>
      <c r="I250" s="26"/>
    </row>
    <row r="251" spans="2:9" hidden="1" outlineLevel="1" x14ac:dyDescent="0.25">
      <c r="B251" s="15"/>
      <c r="C251" s="15" t="s">
        <v>40</v>
      </c>
      <c r="E251" s="4">
        <v>70</v>
      </c>
      <c r="G251" s="6">
        <v>30</v>
      </c>
      <c r="H251" s="26"/>
      <c r="I251" s="26">
        <v>30</v>
      </c>
    </row>
    <row r="252" spans="2:9" hidden="1" outlineLevel="1" x14ac:dyDescent="0.25">
      <c r="B252" s="15"/>
      <c r="C252" s="15" t="s">
        <v>39</v>
      </c>
      <c r="E252" s="4">
        <v>50</v>
      </c>
      <c r="G252" s="6">
        <v>30</v>
      </c>
      <c r="H252" s="26"/>
      <c r="I252" s="26">
        <v>30</v>
      </c>
    </row>
    <row r="253" spans="2:9" hidden="1" outlineLevel="1" x14ac:dyDescent="0.25">
      <c r="B253" s="15"/>
      <c r="C253" s="15" t="s">
        <v>41</v>
      </c>
      <c r="E253" s="4">
        <v>30</v>
      </c>
      <c r="G253" s="6">
        <v>20</v>
      </c>
      <c r="H253" s="26"/>
      <c r="I253" s="26">
        <v>20</v>
      </c>
    </row>
    <row r="254" spans="2:9" hidden="1" outlineLevel="1" x14ac:dyDescent="0.25">
      <c r="B254" s="15"/>
      <c r="C254" s="15" t="s">
        <v>130</v>
      </c>
      <c r="E254" s="4">
        <v>50</v>
      </c>
      <c r="G254" s="6">
        <v>30</v>
      </c>
      <c r="H254" s="26"/>
      <c r="I254" s="26">
        <v>30</v>
      </c>
    </row>
    <row r="255" spans="2:9" hidden="1" outlineLevel="1" x14ac:dyDescent="0.25">
      <c r="B255" s="15"/>
      <c r="C255" s="15" t="s">
        <v>113</v>
      </c>
      <c r="E255" s="4">
        <v>20</v>
      </c>
      <c r="G255" s="6">
        <v>15</v>
      </c>
      <c r="H255" s="26"/>
      <c r="I255" s="26">
        <v>15</v>
      </c>
    </row>
    <row r="256" spans="2:9" hidden="1" outlineLevel="1" x14ac:dyDescent="0.25">
      <c r="B256" s="15"/>
      <c r="C256" s="15" t="s">
        <v>82</v>
      </c>
      <c r="E256" s="4">
        <v>60</v>
      </c>
      <c r="G256" s="6">
        <v>40</v>
      </c>
      <c r="H256" s="26"/>
      <c r="I256" s="26">
        <v>40</v>
      </c>
    </row>
    <row r="257" spans="2:9" hidden="1" outlineLevel="1" x14ac:dyDescent="0.25">
      <c r="B257" s="15"/>
      <c r="C257" s="15" t="s">
        <v>140</v>
      </c>
      <c r="E257" s="4">
        <v>70</v>
      </c>
      <c r="G257" s="6">
        <v>40</v>
      </c>
      <c r="H257" s="26"/>
      <c r="I257" s="26">
        <v>40</v>
      </c>
    </row>
    <row r="258" spans="2:9" hidden="1" outlineLevel="1" x14ac:dyDescent="0.25">
      <c r="B258" s="16" t="s">
        <v>121</v>
      </c>
      <c r="C258" s="15"/>
      <c r="H258" s="26"/>
      <c r="I258" s="26"/>
    </row>
    <row r="259" spans="2:9" hidden="1" outlineLevel="1" x14ac:dyDescent="0.25">
      <c r="B259" s="15"/>
      <c r="C259" s="15" t="s">
        <v>122</v>
      </c>
      <c r="E259" s="4">
        <v>20</v>
      </c>
      <c r="G259" s="6">
        <v>15</v>
      </c>
      <c r="H259" s="26"/>
      <c r="I259" s="26">
        <v>15</v>
      </c>
    </row>
    <row r="260" spans="2:9" hidden="1" outlineLevel="1" x14ac:dyDescent="0.25">
      <c r="B260" s="15"/>
      <c r="C260" s="15" t="s">
        <v>123</v>
      </c>
      <c r="E260" s="4">
        <v>30</v>
      </c>
      <c r="G260" s="6">
        <v>20</v>
      </c>
      <c r="H260" s="26"/>
      <c r="I260" s="26">
        <v>20</v>
      </c>
    </row>
    <row r="261" spans="2:9" hidden="1" outlineLevel="1" x14ac:dyDescent="0.25">
      <c r="B261" s="15"/>
      <c r="C261" s="15" t="s">
        <v>124</v>
      </c>
      <c r="E261" s="4">
        <v>20</v>
      </c>
      <c r="G261" s="6">
        <v>15</v>
      </c>
      <c r="H261" s="26"/>
      <c r="I261" s="26">
        <v>15</v>
      </c>
    </row>
    <row r="262" spans="2:9" hidden="1" outlineLevel="1" x14ac:dyDescent="0.25">
      <c r="B262" s="15"/>
      <c r="C262" s="15" t="s">
        <v>117</v>
      </c>
      <c r="E262" s="4">
        <v>20</v>
      </c>
      <c r="G262" s="6">
        <v>12</v>
      </c>
      <c r="H262" s="26"/>
      <c r="I262" s="26">
        <v>12</v>
      </c>
    </row>
    <row r="263" spans="2:9" hidden="1" outlineLevel="1" x14ac:dyDescent="0.25">
      <c r="B263" s="15"/>
      <c r="C263" s="15" t="s">
        <v>128</v>
      </c>
      <c r="E263" s="4">
        <v>20</v>
      </c>
      <c r="G263" s="6">
        <v>10</v>
      </c>
      <c r="H263" s="26"/>
      <c r="I263" s="26">
        <v>10</v>
      </c>
    </row>
    <row r="264" spans="2:9" hidden="1" outlineLevel="1" x14ac:dyDescent="0.25">
      <c r="B264" s="15"/>
      <c r="C264" s="15" t="s">
        <v>144</v>
      </c>
      <c r="E264" s="4">
        <v>15</v>
      </c>
      <c r="G264" s="6">
        <v>15</v>
      </c>
      <c r="H264" s="26"/>
      <c r="I264" s="26">
        <v>15</v>
      </c>
    </row>
    <row r="265" spans="2:9" hidden="1" outlineLevel="1" x14ac:dyDescent="0.25">
      <c r="B265" s="15"/>
      <c r="C265" s="15" t="s">
        <v>129</v>
      </c>
      <c r="E265" s="4">
        <v>30</v>
      </c>
      <c r="G265" s="6">
        <v>20</v>
      </c>
      <c r="H265" s="26"/>
      <c r="I265" s="26">
        <v>20</v>
      </c>
    </row>
    <row r="266" spans="2:9" hidden="1" outlineLevel="1" x14ac:dyDescent="0.25">
      <c r="B266" s="15"/>
      <c r="C266" s="15" t="s">
        <v>127</v>
      </c>
      <c r="E266" s="4">
        <v>30</v>
      </c>
      <c r="G266" s="6">
        <v>10</v>
      </c>
      <c r="H266" s="26"/>
      <c r="I266" s="26">
        <v>10</v>
      </c>
    </row>
    <row r="267" spans="2:9" hidden="1" outlineLevel="1" x14ac:dyDescent="0.25">
      <c r="B267" s="15"/>
      <c r="C267" s="15" t="s">
        <v>139</v>
      </c>
      <c r="E267" s="4">
        <v>45</v>
      </c>
      <c r="G267" s="6">
        <v>20</v>
      </c>
      <c r="H267" s="26"/>
      <c r="I267" s="26">
        <v>20</v>
      </c>
    </row>
    <row r="268" spans="2:9" hidden="1" outlineLevel="1" x14ac:dyDescent="0.25">
      <c r="B268" s="15"/>
      <c r="C268" s="15" t="s">
        <v>145</v>
      </c>
      <c r="E268" s="4">
        <v>50</v>
      </c>
      <c r="G268" s="6">
        <v>30</v>
      </c>
      <c r="H268" s="26"/>
      <c r="I268" s="26">
        <v>0</v>
      </c>
    </row>
    <row r="269" spans="2:9" hidden="1" outlineLevel="1" x14ac:dyDescent="0.25">
      <c r="B269" s="16" t="s">
        <v>111</v>
      </c>
      <c r="C269" s="15"/>
      <c r="H269" s="26"/>
      <c r="I269" s="26"/>
    </row>
    <row r="270" spans="2:9" hidden="1" outlineLevel="1" x14ac:dyDescent="0.25">
      <c r="B270" s="15"/>
      <c r="C270" s="15" t="s">
        <v>146</v>
      </c>
      <c r="E270" s="4">
        <v>70</v>
      </c>
      <c r="G270" s="6">
        <v>40</v>
      </c>
      <c r="H270" s="26"/>
      <c r="I270" s="26">
        <v>40</v>
      </c>
    </row>
    <row r="271" spans="2:9" hidden="1" outlineLevel="1" x14ac:dyDescent="0.25">
      <c r="B271" s="15"/>
      <c r="C271" s="15" t="s">
        <v>116</v>
      </c>
      <c r="E271" s="4">
        <v>50</v>
      </c>
      <c r="G271" s="6">
        <v>30</v>
      </c>
      <c r="H271" s="26"/>
      <c r="I271" s="26">
        <v>30</v>
      </c>
    </row>
    <row r="272" spans="2:9" hidden="1" outlineLevel="1" x14ac:dyDescent="0.25">
      <c r="B272" s="15"/>
      <c r="C272" s="15" t="s">
        <v>97</v>
      </c>
      <c r="E272" s="4">
        <v>30</v>
      </c>
      <c r="G272" s="6">
        <v>20</v>
      </c>
      <c r="H272" s="26"/>
      <c r="I272" s="26">
        <v>20</v>
      </c>
    </row>
    <row r="273" spans="2:9" hidden="1" outlineLevel="1" x14ac:dyDescent="0.25">
      <c r="B273" s="15"/>
      <c r="C273" s="15" t="s">
        <v>147</v>
      </c>
      <c r="E273" s="4">
        <v>50</v>
      </c>
      <c r="G273" s="6">
        <v>30</v>
      </c>
      <c r="H273" s="26"/>
      <c r="I273" s="26">
        <v>30</v>
      </c>
    </row>
    <row r="274" spans="2:9" hidden="1" outlineLevel="1" x14ac:dyDescent="0.25">
      <c r="B274" s="15"/>
      <c r="C274" s="15" t="s">
        <v>159</v>
      </c>
      <c r="E274" s="4">
        <v>40</v>
      </c>
      <c r="G274" s="6">
        <v>20</v>
      </c>
      <c r="H274" s="26"/>
      <c r="I274" s="26">
        <v>20</v>
      </c>
    </row>
    <row r="275" spans="2:9" hidden="1" outlineLevel="1" x14ac:dyDescent="0.25">
      <c r="B275" s="16" t="s">
        <v>162</v>
      </c>
      <c r="C275" s="15"/>
      <c r="H275" s="26"/>
      <c r="I275" s="26"/>
    </row>
    <row r="276" spans="2:9" hidden="1" outlineLevel="1" x14ac:dyDescent="0.25">
      <c r="B276" s="15"/>
      <c r="C276" s="15" t="s">
        <v>163</v>
      </c>
      <c r="E276" s="4">
        <v>20</v>
      </c>
      <c r="G276" s="6">
        <v>20</v>
      </c>
      <c r="H276" s="26"/>
      <c r="I276" s="26">
        <v>20</v>
      </c>
    </row>
    <row r="277" spans="2:9" hidden="1" outlineLevel="1" x14ac:dyDescent="0.25">
      <c r="B277" s="15"/>
      <c r="C277" s="15" t="s">
        <v>164</v>
      </c>
      <c r="E277" s="4">
        <v>25</v>
      </c>
      <c r="G277" s="6">
        <v>25</v>
      </c>
      <c r="H277" s="26"/>
      <c r="I277" s="26">
        <v>25</v>
      </c>
    </row>
    <row r="278" spans="2:9" hidden="1" outlineLevel="1" x14ac:dyDescent="0.25">
      <c r="B278" s="15"/>
      <c r="C278" s="15" t="s">
        <v>94</v>
      </c>
      <c r="E278" s="4">
        <v>30</v>
      </c>
      <c r="G278" s="6">
        <v>20</v>
      </c>
      <c r="H278" s="26"/>
      <c r="I278" s="26">
        <v>20</v>
      </c>
    </row>
    <row r="279" spans="2:9" hidden="1" outlineLevel="1" x14ac:dyDescent="0.25">
      <c r="B279" s="15"/>
      <c r="C279" s="15" t="s">
        <v>165</v>
      </c>
      <c r="E279" s="4">
        <v>30</v>
      </c>
      <c r="G279" s="6">
        <v>20</v>
      </c>
      <c r="H279" s="26"/>
      <c r="I279" s="26">
        <v>20</v>
      </c>
    </row>
    <row r="280" spans="2:9" collapsed="1" x14ac:dyDescent="0.25">
      <c r="B280" s="30"/>
      <c r="C280" s="30"/>
      <c r="D280" s="41"/>
      <c r="E280" s="31">
        <f>(1+$D$448+$D$449)*SUM(E217:E279)</f>
        <v>3225.6600000000003</v>
      </c>
      <c r="F280" s="50"/>
      <c r="G280" s="32">
        <f>(1+$D$448+$D$449)*SUM(G217:G279)</f>
        <v>1979.13</v>
      </c>
      <c r="H280" s="53"/>
      <c r="I280" s="33">
        <f>(1+$D$448+$D$449)*SUM(I217:I279)</f>
        <v>1734.93</v>
      </c>
    </row>
    <row r="281" spans="2:9" x14ac:dyDescent="0.25">
      <c r="D281" s="38"/>
      <c r="E281"/>
      <c r="F281" s="38"/>
      <c r="G281"/>
      <c r="H281" s="38"/>
      <c r="I281"/>
    </row>
    <row r="282" spans="2:9" x14ac:dyDescent="0.25">
      <c r="B282" s="16" t="s">
        <v>236</v>
      </c>
      <c r="C282" s="15"/>
      <c r="H282" s="26"/>
      <c r="I282" s="26"/>
    </row>
    <row r="283" spans="2:9" hidden="1" outlineLevel="1" x14ac:dyDescent="0.25">
      <c r="B283" s="15"/>
      <c r="C283" s="15" t="s">
        <v>56</v>
      </c>
      <c r="E283" s="4">
        <v>580</v>
      </c>
      <c r="G283" s="6">
        <v>580</v>
      </c>
      <c r="H283" s="26"/>
      <c r="I283" s="26">
        <v>0</v>
      </c>
    </row>
    <row r="284" spans="2:9" hidden="1" outlineLevel="1" x14ac:dyDescent="0.25">
      <c r="B284" s="15"/>
      <c r="C284" s="15" t="s">
        <v>104</v>
      </c>
      <c r="E284" s="4">
        <v>300</v>
      </c>
      <c r="G284" s="6">
        <v>200</v>
      </c>
      <c r="H284" s="26"/>
      <c r="I284" s="26">
        <v>200</v>
      </c>
    </row>
    <row r="285" spans="2:9" hidden="1" outlineLevel="1" x14ac:dyDescent="0.25">
      <c r="B285" s="15"/>
      <c r="C285" s="15" t="s">
        <v>57</v>
      </c>
      <c r="E285" s="4">
        <v>200</v>
      </c>
      <c r="G285" s="6">
        <v>100</v>
      </c>
      <c r="H285" s="26"/>
      <c r="I285" s="26">
        <v>100</v>
      </c>
    </row>
    <row r="286" spans="2:9" hidden="1" outlineLevel="1" x14ac:dyDescent="0.25">
      <c r="B286" s="15"/>
      <c r="C286" s="15" t="s">
        <v>87</v>
      </c>
      <c r="E286" s="4">
        <v>50</v>
      </c>
      <c r="G286" s="6">
        <v>50</v>
      </c>
      <c r="H286" s="26"/>
      <c r="I286" s="26">
        <v>100</v>
      </c>
    </row>
    <row r="287" spans="2:9" collapsed="1" x14ac:dyDescent="0.25">
      <c r="B287" s="30"/>
      <c r="C287" s="30"/>
      <c r="D287" s="41"/>
      <c r="E287" s="31">
        <f>(1+$D$448+$D$449)*SUM(E282:E286)</f>
        <v>1254.3000000000002</v>
      </c>
      <c r="F287" s="50"/>
      <c r="G287" s="32">
        <f>(1+$D$448+$D$449)*SUM(G282:G286)</f>
        <v>1032.3000000000002</v>
      </c>
      <c r="H287" s="53"/>
      <c r="I287" s="33">
        <f>(1+$D$448+$D$449)*SUM(I282:I286)</f>
        <v>444.00000000000006</v>
      </c>
    </row>
    <row r="288" spans="2:9" x14ac:dyDescent="0.25">
      <c r="B288"/>
      <c r="D288" s="9"/>
      <c r="E288" s="9"/>
      <c r="F288" s="9"/>
      <c r="G288" s="9"/>
      <c r="H288" s="9"/>
      <c r="I288" s="9"/>
    </row>
    <row r="289" spans="2:9" x14ac:dyDescent="0.25">
      <c r="B289" s="20" t="s">
        <v>279</v>
      </c>
      <c r="C289" s="22"/>
      <c r="D289" s="21"/>
      <c r="E289" s="21"/>
      <c r="F289" s="21"/>
      <c r="G289" s="21"/>
      <c r="H289" s="21"/>
      <c r="I289" s="21"/>
    </row>
    <row r="290" spans="2:9" x14ac:dyDescent="0.25">
      <c r="D290" s="38"/>
      <c r="E290"/>
      <c r="F290" s="38"/>
      <c r="G290"/>
      <c r="H290" s="38"/>
      <c r="I290"/>
    </row>
    <row r="291" spans="2:9" x14ac:dyDescent="0.25">
      <c r="B291" s="16" t="s">
        <v>192</v>
      </c>
      <c r="C291" s="15"/>
      <c r="H291" s="26"/>
      <c r="I291" s="26"/>
    </row>
    <row r="292" spans="2:9" hidden="1" outlineLevel="1" x14ac:dyDescent="0.25">
      <c r="B292" s="15"/>
      <c r="C292" s="15" t="s">
        <v>188</v>
      </c>
      <c r="E292" s="4">
        <v>300</v>
      </c>
      <c r="G292" s="6">
        <v>200</v>
      </c>
      <c r="H292" s="26"/>
      <c r="I292" s="26">
        <v>200</v>
      </c>
    </row>
    <row r="293" spans="2:9" hidden="1" outlineLevel="1" x14ac:dyDescent="0.25">
      <c r="B293" s="15"/>
      <c r="C293" s="15" t="s">
        <v>187</v>
      </c>
      <c r="E293" s="4">
        <v>100</v>
      </c>
      <c r="G293" s="6">
        <v>50</v>
      </c>
      <c r="H293" s="26"/>
      <c r="I293" s="26">
        <v>50</v>
      </c>
    </row>
    <row r="294" spans="2:9" hidden="1" outlineLevel="1" x14ac:dyDescent="0.25">
      <c r="B294" s="15"/>
      <c r="C294" s="15" t="s">
        <v>189</v>
      </c>
      <c r="E294" s="4">
        <v>30</v>
      </c>
      <c r="G294" s="6">
        <v>20</v>
      </c>
      <c r="H294" s="26"/>
      <c r="I294" s="26">
        <v>20</v>
      </c>
    </row>
    <row r="295" spans="2:9" hidden="1" outlineLevel="1" x14ac:dyDescent="0.25">
      <c r="B295" s="15"/>
      <c r="C295" s="15" t="s">
        <v>190</v>
      </c>
      <c r="E295" s="4">
        <v>30</v>
      </c>
      <c r="G295" s="6">
        <v>30</v>
      </c>
      <c r="H295" s="26"/>
      <c r="I295" s="26">
        <v>30</v>
      </c>
    </row>
    <row r="296" spans="2:9" hidden="1" outlineLevel="1" x14ac:dyDescent="0.25">
      <c r="B296" s="15"/>
      <c r="C296" s="15" t="s">
        <v>191</v>
      </c>
      <c r="E296" s="4">
        <v>30</v>
      </c>
      <c r="G296" s="6">
        <v>30</v>
      </c>
      <c r="H296" s="26"/>
      <c r="I296" s="26">
        <v>30</v>
      </c>
    </row>
    <row r="297" spans="2:9" hidden="1" outlineLevel="1" x14ac:dyDescent="0.25">
      <c r="B297" s="15"/>
      <c r="C297" s="15" t="s">
        <v>185</v>
      </c>
      <c r="E297" s="4">
        <v>30</v>
      </c>
      <c r="G297" s="6">
        <v>20</v>
      </c>
      <c r="H297" s="26"/>
      <c r="I297" s="26">
        <v>20</v>
      </c>
    </row>
    <row r="298" spans="2:9" hidden="1" outlineLevel="1" x14ac:dyDescent="0.25">
      <c r="B298" s="15"/>
      <c r="C298" s="15" t="s">
        <v>73</v>
      </c>
      <c r="E298" s="4">
        <v>70</v>
      </c>
      <c r="G298" s="6">
        <v>50</v>
      </c>
      <c r="H298" s="26"/>
      <c r="I298" s="26">
        <v>50</v>
      </c>
    </row>
    <row r="299" spans="2:9" hidden="1" outlineLevel="1" x14ac:dyDescent="0.25">
      <c r="B299" s="15"/>
      <c r="C299" s="15" t="s">
        <v>74</v>
      </c>
      <c r="E299" s="4">
        <v>100</v>
      </c>
      <c r="G299" s="6">
        <v>70</v>
      </c>
      <c r="H299" s="26"/>
      <c r="I299" s="26">
        <v>70</v>
      </c>
    </row>
    <row r="300" spans="2:9" hidden="1" outlineLevel="1" x14ac:dyDescent="0.25">
      <c r="B300" s="15"/>
      <c r="C300" s="15" t="s">
        <v>201</v>
      </c>
      <c r="E300" s="4">
        <v>10</v>
      </c>
      <c r="G300" s="6">
        <v>10</v>
      </c>
      <c r="H300" s="26"/>
      <c r="I300" s="26">
        <v>10</v>
      </c>
    </row>
    <row r="301" spans="2:9" collapsed="1" x14ac:dyDescent="0.25">
      <c r="B301" s="30"/>
      <c r="C301" s="30"/>
      <c r="D301" s="41"/>
      <c r="E301" s="31">
        <f>(1+$D$448+$D$449)*SUM(E292:E300)</f>
        <v>777.00000000000011</v>
      </c>
      <c r="F301" s="50"/>
      <c r="G301" s="32">
        <f>(1+$D$448+$D$449)*SUM(G292:G300)</f>
        <v>532.80000000000007</v>
      </c>
      <c r="H301" s="53"/>
      <c r="I301" s="33">
        <f>(1+$D$448+$D$449)*SUM(I292:I300)</f>
        <v>532.80000000000007</v>
      </c>
    </row>
    <row r="302" spans="2:9" x14ac:dyDescent="0.25">
      <c r="D302" s="38"/>
      <c r="E302"/>
      <c r="F302" s="38"/>
      <c r="G302"/>
      <c r="H302" s="38"/>
      <c r="I302"/>
    </row>
    <row r="303" spans="2:9" x14ac:dyDescent="0.25">
      <c r="B303" s="16" t="s">
        <v>199</v>
      </c>
      <c r="C303" s="15"/>
      <c r="H303" s="26"/>
      <c r="I303" s="26"/>
    </row>
    <row r="304" spans="2:9" hidden="1" outlineLevel="1" x14ac:dyDescent="0.25">
      <c r="B304" s="15"/>
      <c r="C304" s="15" t="s">
        <v>83</v>
      </c>
      <c r="E304" s="4">
        <v>100</v>
      </c>
      <c r="G304" s="6">
        <v>50</v>
      </c>
      <c r="H304" s="26"/>
      <c r="I304" s="26">
        <v>50</v>
      </c>
    </row>
    <row r="305" spans="2:9" hidden="1" outlineLevel="1" x14ac:dyDescent="0.25">
      <c r="B305" s="15"/>
      <c r="C305" s="15" t="s">
        <v>70</v>
      </c>
      <c r="E305" s="4">
        <v>30</v>
      </c>
      <c r="G305" s="6">
        <v>20</v>
      </c>
      <c r="H305" s="26"/>
      <c r="I305" s="26">
        <v>20</v>
      </c>
    </row>
    <row r="306" spans="2:9" hidden="1" outlineLevel="1" x14ac:dyDescent="0.25">
      <c r="B306" s="15"/>
      <c r="C306" s="15" t="s">
        <v>68</v>
      </c>
      <c r="E306" s="4">
        <v>50</v>
      </c>
      <c r="G306" s="6">
        <v>30</v>
      </c>
      <c r="H306" s="26"/>
      <c r="I306" s="26">
        <v>30</v>
      </c>
    </row>
    <row r="307" spans="2:9" hidden="1" outlineLevel="1" x14ac:dyDescent="0.25">
      <c r="B307" s="15"/>
      <c r="C307" s="15" t="s">
        <v>167</v>
      </c>
      <c r="E307" s="4">
        <v>50</v>
      </c>
      <c r="G307" s="6">
        <v>30</v>
      </c>
      <c r="H307" s="26"/>
      <c r="I307" s="26">
        <v>30</v>
      </c>
    </row>
    <row r="308" spans="2:9" hidden="1" outlineLevel="1" x14ac:dyDescent="0.25">
      <c r="B308" s="15"/>
      <c r="C308" s="15" t="s">
        <v>71</v>
      </c>
      <c r="E308" s="4">
        <v>20</v>
      </c>
      <c r="G308" s="6">
        <v>10</v>
      </c>
      <c r="H308" s="26"/>
      <c r="I308" s="26">
        <v>10</v>
      </c>
    </row>
    <row r="309" spans="2:9" hidden="1" outlineLevel="1" x14ac:dyDescent="0.25">
      <c r="B309" s="15"/>
      <c r="C309" s="15" t="s">
        <v>76</v>
      </c>
      <c r="E309" s="4">
        <v>100</v>
      </c>
      <c r="G309" s="6">
        <v>50</v>
      </c>
      <c r="H309" s="26"/>
      <c r="I309" s="26">
        <v>50</v>
      </c>
    </row>
    <row r="310" spans="2:9" hidden="1" outlineLevel="1" x14ac:dyDescent="0.25">
      <c r="B310" s="15"/>
      <c r="C310" s="15" t="s">
        <v>168</v>
      </c>
      <c r="E310" s="4">
        <v>30</v>
      </c>
      <c r="G310" s="6">
        <v>20</v>
      </c>
      <c r="H310" s="26"/>
      <c r="I310" s="26">
        <v>20</v>
      </c>
    </row>
    <row r="311" spans="2:9" hidden="1" outlineLevel="1" x14ac:dyDescent="0.25">
      <c r="B311" s="15"/>
      <c r="C311" s="15" t="s">
        <v>79</v>
      </c>
      <c r="E311" s="4">
        <v>30</v>
      </c>
      <c r="G311" s="6">
        <v>20</v>
      </c>
      <c r="H311" s="26"/>
      <c r="I311" s="26">
        <v>20</v>
      </c>
    </row>
    <row r="312" spans="2:9" collapsed="1" x14ac:dyDescent="0.25">
      <c r="B312" s="30"/>
      <c r="C312" s="30"/>
      <c r="D312" s="41"/>
      <c r="E312" s="31">
        <f>(1+$D$448+$D$449)*SUM(E304:E311)</f>
        <v>455.1</v>
      </c>
      <c r="F312" s="50"/>
      <c r="G312" s="32">
        <f>(1+$D$448+$D$449)*SUM(G304:G311)</f>
        <v>255.3</v>
      </c>
      <c r="H312" s="53"/>
      <c r="I312" s="33">
        <f>(1+$D$448+$D$449)*SUM(I304:I311)</f>
        <v>255.3</v>
      </c>
    </row>
    <row r="313" spans="2:9" x14ac:dyDescent="0.25">
      <c r="D313" s="38"/>
      <c r="E313"/>
      <c r="F313" s="38"/>
      <c r="G313"/>
      <c r="H313" s="38"/>
      <c r="I313"/>
    </row>
    <row r="314" spans="2:9" x14ac:dyDescent="0.25">
      <c r="B314" s="16" t="s">
        <v>241</v>
      </c>
      <c r="C314" s="15"/>
      <c r="H314" s="26"/>
      <c r="I314" s="26"/>
    </row>
    <row r="315" spans="2:9" hidden="1" outlineLevel="1" x14ac:dyDescent="0.25">
      <c r="B315" s="15"/>
      <c r="C315" s="15" t="s">
        <v>198</v>
      </c>
      <c r="E315" s="4">
        <v>100</v>
      </c>
      <c r="G315" s="6">
        <v>50</v>
      </c>
      <c r="H315" s="26"/>
      <c r="I315" s="26">
        <v>50</v>
      </c>
    </row>
    <row r="316" spans="2:9" hidden="1" outlineLevel="1" x14ac:dyDescent="0.25">
      <c r="B316" s="15"/>
      <c r="C316" s="15" t="s">
        <v>86</v>
      </c>
      <c r="E316" s="4">
        <v>30</v>
      </c>
      <c r="G316" s="6">
        <v>20</v>
      </c>
      <c r="H316" s="26"/>
      <c r="I316" s="26">
        <v>20</v>
      </c>
    </row>
    <row r="317" spans="2:9" hidden="1" outlineLevel="1" x14ac:dyDescent="0.25">
      <c r="B317" s="15"/>
      <c r="C317" s="15" t="s">
        <v>92</v>
      </c>
      <c r="E317" s="4">
        <v>100</v>
      </c>
      <c r="G317" s="6">
        <v>50</v>
      </c>
      <c r="H317" s="26"/>
      <c r="I317" s="26">
        <v>50</v>
      </c>
    </row>
    <row r="318" spans="2:9" hidden="1" outlineLevel="1" x14ac:dyDescent="0.25">
      <c r="B318" s="15"/>
      <c r="C318" s="15" t="s">
        <v>93</v>
      </c>
      <c r="E318" s="4">
        <v>30</v>
      </c>
      <c r="G318" s="6">
        <v>20</v>
      </c>
      <c r="H318" s="26"/>
      <c r="I318" s="26">
        <v>20</v>
      </c>
    </row>
    <row r="319" spans="2:9" hidden="1" outlineLevel="1" x14ac:dyDescent="0.25">
      <c r="B319" s="15"/>
      <c r="C319" s="15" t="s">
        <v>64</v>
      </c>
      <c r="E319" s="4">
        <v>30</v>
      </c>
      <c r="G319" s="6">
        <v>20</v>
      </c>
      <c r="H319" s="26"/>
      <c r="I319" s="26">
        <v>20</v>
      </c>
    </row>
    <row r="320" spans="2:9" hidden="1" outlineLevel="1" x14ac:dyDescent="0.25">
      <c r="B320" s="15"/>
      <c r="C320" s="15" t="s">
        <v>65</v>
      </c>
      <c r="E320" s="4">
        <v>30</v>
      </c>
      <c r="G320" s="6">
        <v>20</v>
      </c>
      <c r="H320" s="26"/>
      <c r="I320" s="26">
        <v>20</v>
      </c>
    </row>
    <row r="321" spans="2:9" hidden="1" outlineLevel="1" x14ac:dyDescent="0.25">
      <c r="B321" s="15"/>
      <c r="C321" s="15" t="s">
        <v>67</v>
      </c>
      <c r="E321" s="4">
        <v>60</v>
      </c>
      <c r="G321" s="6">
        <v>40</v>
      </c>
      <c r="H321" s="26"/>
      <c r="I321" s="26">
        <v>40</v>
      </c>
    </row>
    <row r="322" spans="2:9" collapsed="1" x14ac:dyDescent="0.25">
      <c r="B322" s="30"/>
      <c r="C322" s="30"/>
      <c r="D322" s="41"/>
      <c r="E322" s="31">
        <f>(1+$D$448+$D$449)*SUM(E315:E321)</f>
        <v>421.8</v>
      </c>
      <c r="F322" s="50"/>
      <c r="G322" s="32">
        <f>(1+$D$448+$D$449)*SUM(G315:G321)</f>
        <v>244.20000000000002</v>
      </c>
      <c r="H322" s="53"/>
      <c r="I322" s="33">
        <f>(1+$D$448+$D$449)*SUM(I315:I321)</f>
        <v>244.20000000000002</v>
      </c>
    </row>
    <row r="323" spans="2:9" x14ac:dyDescent="0.25">
      <c r="D323" s="38"/>
      <c r="E323"/>
      <c r="F323" s="38"/>
      <c r="G323"/>
      <c r="H323" s="38"/>
      <c r="I323"/>
    </row>
    <row r="324" spans="2:9" x14ac:dyDescent="0.25">
      <c r="B324" s="16" t="s">
        <v>172</v>
      </c>
      <c r="C324" s="15"/>
      <c r="H324" s="26"/>
      <c r="I324" s="26"/>
    </row>
    <row r="325" spans="2:9" hidden="1" outlineLevel="1" x14ac:dyDescent="0.25">
      <c r="B325" s="15"/>
      <c r="C325" s="15" t="s">
        <v>85</v>
      </c>
      <c r="E325" s="4">
        <v>75</v>
      </c>
      <c r="G325" s="6">
        <v>50</v>
      </c>
      <c r="H325" s="26"/>
      <c r="I325" s="26">
        <v>50</v>
      </c>
    </row>
    <row r="326" spans="2:9" hidden="1" outlineLevel="1" x14ac:dyDescent="0.25">
      <c r="B326" s="15"/>
      <c r="C326" s="15" t="s">
        <v>203</v>
      </c>
      <c r="E326" s="4">
        <v>10</v>
      </c>
      <c r="G326" s="6">
        <v>10</v>
      </c>
      <c r="H326" s="26"/>
      <c r="I326" s="26">
        <v>10</v>
      </c>
    </row>
    <row r="327" spans="2:9" hidden="1" outlineLevel="1" x14ac:dyDescent="0.25">
      <c r="B327" s="15"/>
      <c r="C327" s="15" t="s">
        <v>177</v>
      </c>
      <c r="E327" s="4">
        <v>20</v>
      </c>
      <c r="G327" s="6">
        <v>20</v>
      </c>
      <c r="H327" s="26"/>
      <c r="I327" s="26">
        <v>20</v>
      </c>
    </row>
    <row r="328" spans="2:9" hidden="1" outlineLevel="1" x14ac:dyDescent="0.25">
      <c r="B328" s="15"/>
      <c r="C328" s="15" t="s">
        <v>204</v>
      </c>
      <c r="E328" s="4">
        <v>100</v>
      </c>
      <c r="G328" s="6">
        <v>100</v>
      </c>
      <c r="H328" s="26"/>
      <c r="I328" s="26">
        <v>100</v>
      </c>
    </row>
    <row r="329" spans="2:9" hidden="1" outlineLevel="1" x14ac:dyDescent="0.25">
      <c r="B329" s="15"/>
      <c r="C329" s="15" t="s">
        <v>208</v>
      </c>
      <c r="E329" s="4">
        <v>50</v>
      </c>
      <c r="G329" s="6">
        <v>50</v>
      </c>
      <c r="H329" s="26"/>
      <c r="I329" s="26">
        <v>50</v>
      </c>
    </row>
    <row r="330" spans="2:9" hidden="1" outlineLevel="1" x14ac:dyDescent="0.25">
      <c r="B330" s="15"/>
      <c r="C330" s="15" t="s">
        <v>209</v>
      </c>
      <c r="E330" s="4">
        <v>50</v>
      </c>
      <c r="G330" s="6">
        <v>50</v>
      </c>
      <c r="H330" s="26"/>
      <c r="I330" s="26">
        <v>50</v>
      </c>
    </row>
    <row r="331" spans="2:9" hidden="1" outlineLevel="1" x14ac:dyDescent="0.25">
      <c r="B331" s="15"/>
      <c r="C331" s="15" t="s">
        <v>205</v>
      </c>
      <c r="E331" s="4">
        <v>100</v>
      </c>
      <c r="G331" s="6">
        <v>70</v>
      </c>
      <c r="H331" s="26"/>
      <c r="I331" s="26">
        <v>70</v>
      </c>
    </row>
    <row r="332" spans="2:9" hidden="1" outlineLevel="1" x14ac:dyDescent="0.25">
      <c r="B332" s="15"/>
      <c r="C332" s="15" t="s">
        <v>206</v>
      </c>
      <c r="E332" s="4">
        <v>100</v>
      </c>
      <c r="G332" s="6">
        <v>50</v>
      </c>
      <c r="H332" s="26"/>
      <c r="I332" s="26">
        <v>50</v>
      </c>
    </row>
    <row r="333" spans="2:9" hidden="1" outlineLevel="1" x14ac:dyDescent="0.25">
      <c r="B333" s="15"/>
      <c r="C333" s="15" t="s">
        <v>207</v>
      </c>
      <c r="E333" s="4">
        <v>60</v>
      </c>
      <c r="G333" s="6">
        <v>40</v>
      </c>
      <c r="H333" s="26"/>
      <c r="I333" s="26">
        <v>40</v>
      </c>
    </row>
    <row r="334" spans="2:9" hidden="1" outlineLevel="1" x14ac:dyDescent="0.25">
      <c r="B334" s="15"/>
      <c r="C334" s="15" t="s">
        <v>186</v>
      </c>
      <c r="E334" s="4">
        <v>30</v>
      </c>
      <c r="G334" s="6">
        <v>30</v>
      </c>
      <c r="H334" s="26"/>
      <c r="I334" s="26">
        <v>30</v>
      </c>
    </row>
    <row r="335" spans="2:9" hidden="1" outlineLevel="1" x14ac:dyDescent="0.25">
      <c r="B335" s="15"/>
      <c r="C335" s="15" t="s">
        <v>211</v>
      </c>
      <c r="E335" s="4">
        <v>15</v>
      </c>
      <c r="G335" s="6">
        <v>15</v>
      </c>
      <c r="H335" s="26"/>
      <c r="I335" s="26">
        <v>15</v>
      </c>
    </row>
    <row r="336" spans="2:9" hidden="1" outlineLevel="1" x14ac:dyDescent="0.25">
      <c r="B336" s="15"/>
      <c r="C336" s="15" t="s">
        <v>212</v>
      </c>
      <c r="E336" s="4">
        <v>50</v>
      </c>
      <c r="G336" s="6">
        <v>35</v>
      </c>
      <c r="H336" s="26"/>
      <c r="I336" s="26">
        <v>35</v>
      </c>
    </row>
    <row r="337" spans="2:9" hidden="1" outlineLevel="1" x14ac:dyDescent="0.25">
      <c r="B337" s="15"/>
      <c r="C337" s="15" t="s">
        <v>213</v>
      </c>
      <c r="E337" s="4">
        <v>10</v>
      </c>
      <c r="G337" s="6">
        <v>10</v>
      </c>
      <c r="H337" s="26"/>
      <c r="I337" s="26">
        <v>10</v>
      </c>
    </row>
    <row r="338" spans="2:9" hidden="1" outlineLevel="1" x14ac:dyDescent="0.25">
      <c r="B338" s="15"/>
      <c r="C338" s="15" t="s">
        <v>75</v>
      </c>
      <c r="E338" s="4">
        <v>30</v>
      </c>
      <c r="G338" s="6">
        <v>15</v>
      </c>
      <c r="H338" s="26"/>
      <c r="I338" s="26">
        <v>15</v>
      </c>
    </row>
    <row r="339" spans="2:9" hidden="1" outlineLevel="1" x14ac:dyDescent="0.25">
      <c r="B339" s="15"/>
      <c r="C339" s="15" t="s">
        <v>178</v>
      </c>
      <c r="E339" s="4">
        <v>30</v>
      </c>
      <c r="G339" s="6">
        <v>20</v>
      </c>
      <c r="H339" s="26"/>
      <c r="I339" s="26">
        <v>20</v>
      </c>
    </row>
    <row r="340" spans="2:9" hidden="1" outlineLevel="1" x14ac:dyDescent="0.25">
      <c r="B340" s="15"/>
      <c r="C340" s="15" t="s">
        <v>174</v>
      </c>
      <c r="E340" s="4">
        <v>200</v>
      </c>
      <c r="G340" s="6">
        <v>150</v>
      </c>
      <c r="H340" s="26"/>
      <c r="I340" s="26">
        <v>150</v>
      </c>
    </row>
    <row r="341" spans="2:9" hidden="1" outlineLevel="1" x14ac:dyDescent="0.25">
      <c r="B341" s="15"/>
      <c r="C341" s="15" t="s">
        <v>175</v>
      </c>
      <c r="E341" s="4">
        <v>150</v>
      </c>
      <c r="G341" s="6">
        <v>120</v>
      </c>
      <c r="H341" s="26"/>
      <c r="I341" s="26">
        <v>120</v>
      </c>
    </row>
    <row r="342" spans="2:9" hidden="1" outlineLevel="1" x14ac:dyDescent="0.25">
      <c r="B342" s="15"/>
      <c r="C342" s="15" t="s">
        <v>179</v>
      </c>
      <c r="E342" s="4">
        <v>150</v>
      </c>
      <c r="G342" s="6">
        <v>100</v>
      </c>
      <c r="H342" s="26"/>
      <c r="I342" s="26">
        <v>100</v>
      </c>
    </row>
    <row r="343" spans="2:9" hidden="1" outlineLevel="1" x14ac:dyDescent="0.25">
      <c r="B343" s="15"/>
      <c r="C343" s="15" t="s">
        <v>210</v>
      </c>
      <c r="E343" s="4">
        <v>70</v>
      </c>
      <c r="G343" s="6">
        <v>50</v>
      </c>
      <c r="H343" s="26"/>
      <c r="I343" s="26">
        <v>50</v>
      </c>
    </row>
    <row r="344" spans="2:9" hidden="1" outlineLevel="1" x14ac:dyDescent="0.25">
      <c r="B344" s="15"/>
      <c r="C344" s="15" t="s">
        <v>176</v>
      </c>
      <c r="E344" s="4">
        <v>80</v>
      </c>
      <c r="G344" s="6">
        <v>50</v>
      </c>
      <c r="H344" s="26"/>
      <c r="I344" s="26">
        <v>50</v>
      </c>
    </row>
    <row r="345" spans="2:9" hidden="1" outlineLevel="1" x14ac:dyDescent="0.25">
      <c r="B345" s="15"/>
      <c r="C345" s="15" t="s">
        <v>183</v>
      </c>
      <c r="E345" s="4">
        <v>170</v>
      </c>
      <c r="G345" s="6">
        <v>130</v>
      </c>
      <c r="H345" s="26"/>
      <c r="I345" s="26">
        <v>130</v>
      </c>
    </row>
    <row r="346" spans="2:9" hidden="1" outlineLevel="1" x14ac:dyDescent="0.25">
      <c r="B346" s="15"/>
      <c r="C346" s="15" t="s">
        <v>193</v>
      </c>
      <c r="E346" s="4">
        <v>50</v>
      </c>
      <c r="G346" s="6">
        <v>30</v>
      </c>
      <c r="H346" s="26"/>
      <c r="I346" s="26">
        <v>30</v>
      </c>
    </row>
    <row r="347" spans="2:9" collapsed="1" x14ac:dyDescent="0.25">
      <c r="B347" s="30"/>
      <c r="C347" s="30"/>
      <c r="D347" s="41"/>
      <c r="E347" s="31">
        <f>(1+$D$448+$D$449)*SUM(E325:E346)</f>
        <v>1776.0000000000002</v>
      </c>
      <c r="F347" s="50"/>
      <c r="G347" s="32">
        <f>(1+$D$448+$D$449)*SUM(G325:G346)</f>
        <v>1326.45</v>
      </c>
      <c r="H347" s="53"/>
      <c r="I347" s="33">
        <f>(1+$D$448+$D$449)*SUM(I325:I346)</f>
        <v>1326.45</v>
      </c>
    </row>
    <row r="348" spans="2:9" x14ac:dyDescent="0.25">
      <c r="D348" s="38"/>
      <c r="E348"/>
      <c r="F348" s="38"/>
      <c r="G348"/>
      <c r="H348" s="38"/>
      <c r="I348"/>
    </row>
    <row r="349" spans="2:9" x14ac:dyDescent="0.25">
      <c r="B349" s="54" t="s">
        <v>304</v>
      </c>
      <c r="C349" s="15"/>
      <c r="H349" s="26"/>
      <c r="I349" s="26"/>
    </row>
    <row r="350" spans="2:9" hidden="1" outlineLevel="1" x14ac:dyDescent="0.25">
      <c r="B350" s="15"/>
      <c r="C350" s="15" t="s">
        <v>326</v>
      </c>
      <c r="E350" s="4">
        <v>100</v>
      </c>
      <c r="G350" s="6">
        <v>100</v>
      </c>
      <c r="H350" s="26"/>
      <c r="I350" s="26">
        <v>100</v>
      </c>
    </row>
    <row r="351" spans="2:9" hidden="1" outlineLevel="1" x14ac:dyDescent="0.25">
      <c r="B351" s="15"/>
      <c r="C351" s="15" t="s">
        <v>325</v>
      </c>
      <c r="E351" s="4">
        <v>100</v>
      </c>
      <c r="G351" s="6">
        <v>100</v>
      </c>
      <c r="H351" s="26"/>
      <c r="I351" s="26">
        <v>100</v>
      </c>
    </row>
    <row r="352" spans="2:9" hidden="1" outlineLevel="1" x14ac:dyDescent="0.25">
      <c r="B352" s="15"/>
      <c r="C352" s="15" t="s">
        <v>305</v>
      </c>
      <c r="E352" s="4">
        <v>50</v>
      </c>
      <c r="G352" s="6">
        <v>50</v>
      </c>
      <c r="H352" s="26"/>
      <c r="I352" s="26">
        <v>50</v>
      </c>
    </row>
    <row r="353" spans="2:9" hidden="1" outlineLevel="1" x14ac:dyDescent="0.25">
      <c r="B353" s="15"/>
      <c r="C353" s="15" t="s">
        <v>306</v>
      </c>
      <c r="E353" s="4">
        <v>100</v>
      </c>
      <c r="G353" s="6">
        <v>100</v>
      </c>
      <c r="H353" s="26"/>
      <c r="I353" s="26">
        <v>100</v>
      </c>
    </row>
    <row r="354" spans="2:9" hidden="1" outlineLevel="1" x14ac:dyDescent="0.25">
      <c r="B354" s="15"/>
      <c r="C354" s="15" t="s">
        <v>307</v>
      </c>
      <c r="E354" s="4">
        <v>50</v>
      </c>
      <c r="G354" s="6">
        <v>50</v>
      </c>
      <c r="H354" s="26"/>
      <c r="I354" s="26">
        <v>50</v>
      </c>
    </row>
    <row r="355" spans="2:9" hidden="1" outlineLevel="1" x14ac:dyDescent="0.25">
      <c r="B355" s="15"/>
      <c r="C355" s="15" t="s">
        <v>308</v>
      </c>
      <c r="E355" s="4">
        <v>200</v>
      </c>
      <c r="G355" s="6">
        <v>200</v>
      </c>
      <c r="H355" s="26"/>
      <c r="I355" s="26">
        <v>200</v>
      </c>
    </row>
    <row r="356" spans="2:9" hidden="1" outlineLevel="1" x14ac:dyDescent="0.25">
      <c r="B356" s="15"/>
      <c r="C356" s="15" t="s">
        <v>309</v>
      </c>
      <c r="E356" s="4">
        <v>60</v>
      </c>
      <c r="G356" s="6">
        <v>60</v>
      </c>
      <c r="H356" s="26"/>
      <c r="I356" s="26">
        <v>60</v>
      </c>
    </row>
    <row r="357" spans="2:9" hidden="1" outlineLevel="1" x14ac:dyDescent="0.25">
      <c r="B357" s="15"/>
      <c r="C357" s="15" t="s">
        <v>310</v>
      </c>
      <c r="E357" s="4">
        <v>25</v>
      </c>
      <c r="G357" s="6">
        <v>25</v>
      </c>
      <c r="H357" s="26"/>
      <c r="I357" s="26">
        <v>25</v>
      </c>
    </row>
    <row r="358" spans="2:9" hidden="1" outlineLevel="1" x14ac:dyDescent="0.25">
      <c r="B358" s="15"/>
      <c r="C358" s="15" t="s">
        <v>311</v>
      </c>
      <c r="E358" s="4">
        <v>40</v>
      </c>
      <c r="G358" s="6">
        <v>40</v>
      </c>
      <c r="H358" s="26"/>
      <c r="I358" s="26">
        <v>40</v>
      </c>
    </row>
    <row r="359" spans="2:9" hidden="1" outlineLevel="1" x14ac:dyDescent="0.25">
      <c r="B359" s="15"/>
      <c r="C359" s="15" t="s">
        <v>312</v>
      </c>
      <c r="E359" s="4">
        <v>250</v>
      </c>
      <c r="G359" s="6">
        <v>250</v>
      </c>
      <c r="H359" s="26"/>
      <c r="I359" s="26">
        <v>250</v>
      </c>
    </row>
    <row r="360" spans="2:9" hidden="1" outlineLevel="1" x14ac:dyDescent="0.25">
      <c r="B360" s="15"/>
      <c r="C360" s="15" t="s">
        <v>313</v>
      </c>
      <c r="E360" s="4">
        <v>100</v>
      </c>
      <c r="G360" s="6">
        <v>100</v>
      </c>
      <c r="H360" s="26"/>
      <c r="I360" s="26">
        <v>100</v>
      </c>
    </row>
    <row r="361" spans="2:9" hidden="1" outlineLevel="1" x14ac:dyDescent="0.25">
      <c r="B361" s="15"/>
      <c r="C361" s="15" t="s">
        <v>314</v>
      </c>
      <c r="E361" s="4">
        <v>300</v>
      </c>
      <c r="G361" s="6">
        <v>300</v>
      </c>
      <c r="H361" s="26"/>
      <c r="I361" s="26">
        <v>300</v>
      </c>
    </row>
    <row r="362" spans="2:9" hidden="1" outlineLevel="1" x14ac:dyDescent="0.25">
      <c r="B362" s="15"/>
      <c r="C362" s="15" t="s">
        <v>315</v>
      </c>
      <c r="E362" s="4">
        <v>500</v>
      </c>
      <c r="G362" s="6">
        <v>500</v>
      </c>
      <c r="H362" s="26"/>
      <c r="I362" s="26">
        <v>500</v>
      </c>
    </row>
    <row r="363" spans="2:9" hidden="1" outlineLevel="1" x14ac:dyDescent="0.25">
      <c r="B363" s="15"/>
      <c r="C363" s="15" t="s">
        <v>316</v>
      </c>
      <c r="E363" s="4">
        <v>50</v>
      </c>
      <c r="G363" s="6">
        <v>50</v>
      </c>
      <c r="H363" s="26"/>
      <c r="I363" s="26">
        <v>50</v>
      </c>
    </row>
    <row r="364" spans="2:9" hidden="1" outlineLevel="1" x14ac:dyDescent="0.25">
      <c r="B364" s="15"/>
      <c r="C364" s="15" t="s">
        <v>317</v>
      </c>
      <c r="E364" s="4">
        <v>50</v>
      </c>
      <c r="G364" s="6">
        <v>50</v>
      </c>
      <c r="H364" s="26"/>
      <c r="I364" s="26">
        <v>50</v>
      </c>
    </row>
    <row r="365" spans="2:9" hidden="1" outlineLevel="1" x14ac:dyDescent="0.25">
      <c r="B365" s="15"/>
      <c r="C365" s="15" t="s">
        <v>318</v>
      </c>
      <c r="E365" s="4">
        <v>100</v>
      </c>
      <c r="G365" s="6">
        <v>100</v>
      </c>
      <c r="H365" s="26"/>
      <c r="I365" s="26">
        <v>100</v>
      </c>
    </row>
    <row r="366" spans="2:9" hidden="1" outlineLevel="1" x14ac:dyDescent="0.25">
      <c r="B366" s="15"/>
      <c r="C366" s="15" t="s">
        <v>319</v>
      </c>
      <c r="E366" s="4">
        <v>60</v>
      </c>
      <c r="G366" s="6">
        <v>60</v>
      </c>
      <c r="H366" s="26"/>
      <c r="I366" s="26">
        <v>60</v>
      </c>
    </row>
    <row r="367" spans="2:9" hidden="1" outlineLevel="1" x14ac:dyDescent="0.25">
      <c r="B367" s="15"/>
      <c r="C367" s="15" t="s">
        <v>320</v>
      </c>
      <c r="E367" s="4">
        <v>50</v>
      </c>
      <c r="G367" s="6">
        <v>50</v>
      </c>
      <c r="H367" s="26"/>
      <c r="I367" s="26">
        <v>50</v>
      </c>
    </row>
    <row r="368" spans="2:9" hidden="1" outlineLevel="1" x14ac:dyDescent="0.25">
      <c r="B368" s="15"/>
      <c r="C368" s="15" t="s">
        <v>321</v>
      </c>
      <c r="E368" s="4">
        <v>150</v>
      </c>
      <c r="G368" s="6">
        <v>150</v>
      </c>
      <c r="H368" s="26"/>
      <c r="I368" s="26">
        <v>150</v>
      </c>
    </row>
    <row r="369" spans="2:9" hidden="1" outlineLevel="1" x14ac:dyDescent="0.25">
      <c r="B369" s="15"/>
      <c r="C369" s="15" t="s">
        <v>322</v>
      </c>
      <c r="E369" s="4">
        <v>40</v>
      </c>
      <c r="G369" s="6">
        <v>40</v>
      </c>
      <c r="H369" s="26"/>
      <c r="I369" s="26">
        <v>40</v>
      </c>
    </row>
    <row r="370" spans="2:9" hidden="1" outlineLevel="1" x14ac:dyDescent="0.25">
      <c r="B370" s="15"/>
      <c r="C370" s="15" t="s">
        <v>323</v>
      </c>
      <c r="E370" s="4">
        <v>500</v>
      </c>
      <c r="G370" s="6">
        <v>0</v>
      </c>
      <c r="H370" s="26"/>
      <c r="I370" s="26">
        <v>0</v>
      </c>
    </row>
    <row r="371" spans="2:9" hidden="1" outlineLevel="1" x14ac:dyDescent="0.25">
      <c r="B371" s="15"/>
      <c r="C371" s="15" t="s">
        <v>324</v>
      </c>
      <c r="E371" s="4">
        <v>60</v>
      </c>
      <c r="G371" s="6">
        <v>60</v>
      </c>
      <c r="H371" s="26"/>
      <c r="I371" s="26">
        <v>60</v>
      </c>
    </row>
    <row r="372" spans="2:9" collapsed="1" x14ac:dyDescent="0.25">
      <c r="B372" s="30"/>
      <c r="C372" s="30"/>
      <c r="D372" s="41"/>
      <c r="E372" s="31">
        <f>(1+$D$448+$D$449)*SUM(E350:E371)</f>
        <v>3257.8500000000004</v>
      </c>
      <c r="F372" s="50"/>
      <c r="G372" s="32">
        <f>(1+$D$448+$D$449)*SUM(G350:G371)</f>
        <v>2702.8500000000004</v>
      </c>
      <c r="H372" s="53"/>
      <c r="I372" s="33">
        <f>(1+$D$448+$D$449)*SUM(I350:I371)</f>
        <v>2702.8500000000004</v>
      </c>
    </row>
    <row r="373" spans="2:9" x14ac:dyDescent="0.25">
      <c r="D373" s="38"/>
      <c r="E373"/>
      <c r="F373" s="38"/>
      <c r="G373"/>
      <c r="H373" s="38"/>
      <c r="I373"/>
    </row>
    <row r="374" spans="2:9" x14ac:dyDescent="0.25">
      <c r="B374" s="54" t="s">
        <v>297</v>
      </c>
      <c r="C374" s="15"/>
      <c r="H374" s="26"/>
      <c r="I374" s="26"/>
    </row>
    <row r="375" spans="2:9" hidden="1" outlineLevel="1" x14ac:dyDescent="0.25">
      <c r="B375" s="15"/>
      <c r="C375" s="15" t="s">
        <v>327</v>
      </c>
      <c r="E375" s="4">
        <v>25</v>
      </c>
      <c r="G375" s="6">
        <v>25</v>
      </c>
      <c r="H375" s="26"/>
      <c r="I375" s="26">
        <v>20</v>
      </c>
    </row>
    <row r="376" spans="2:9" hidden="1" outlineLevel="1" x14ac:dyDescent="0.25">
      <c r="B376" s="15"/>
      <c r="C376" s="15" t="s">
        <v>328</v>
      </c>
      <c r="E376" s="4">
        <v>15</v>
      </c>
      <c r="G376" s="6">
        <v>15</v>
      </c>
      <c r="H376" s="26"/>
      <c r="I376" s="26">
        <v>12</v>
      </c>
    </row>
    <row r="377" spans="2:9" hidden="1" outlineLevel="1" x14ac:dyDescent="0.25">
      <c r="B377" s="15"/>
      <c r="C377" s="15" t="s">
        <v>329</v>
      </c>
      <c r="E377" s="4">
        <v>40</v>
      </c>
      <c r="G377" s="6">
        <v>40</v>
      </c>
      <c r="H377" s="26"/>
      <c r="I377" s="26">
        <v>30</v>
      </c>
    </row>
    <row r="378" spans="2:9" hidden="1" outlineLevel="1" x14ac:dyDescent="0.25">
      <c r="B378" s="15"/>
      <c r="C378" s="15" t="s">
        <v>330</v>
      </c>
      <c r="E378" s="4">
        <v>30</v>
      </c>
      <c r="G378" s="6">
        <v>30</v>
      </c>
      <c r="H378" s="26"/>
      <c r="I378" s="26">
        <v>20</v>
      </c>
    </row>
    <row r="379" spans="2:9" hidden="1" outlineLevel="1" x14ac:dyDescent="0.25">
      <c r="B379" s="15"/>
      <c r="C379" s="15" t="s">
        <v>317</v>
      </c>
      <c r="E379" s="4">
        <v>30</v>
      </c>
      <c r="G379" s="6">
        <v>30</v>
      </c>
      <c r="H379" s="26"/>
      <c r="I379" s="26">
        <v>20</v>
      </c>
    </row>
    <row r="380" spans="2:9" hidden="1" outlineLevel="1" x14ac:dyDescent="0.25">
      <c r="B380" s="15"/>
      <c r="C380" s="15" t="s">
        <v>331</v>
      </c>
      <c r="E380" s="4">
        <v>60</v>
      </c>
      <c r="G380" s="6">
        <v>60</v>
      </c>
      <c r="H380" s="26"/>
      <c r="I380" s="26">
        <v>50</v>
      </c>
    </row>
    <row r="381" spans="2:9" hidden="1" outlineLevel="1" x14ac:dyDescent="0.25">
      <c r="B381" s="15"/>
      <c r="C381" s="15" t="s">
        <v>333</v>
      </c>
      <c r="E381" s="4">
        <v>20</v>
      </c>
      <c r="G381" s="6">
        <v>20</v>
      </c>
      <c r="H381" s="26"/>
      <c r="I381" s="26">
        <v>15</v>
      </c>
    </row>
    <row r="382" spans="2:9" hidden="1" outlineLevel="1" x14ac:dyDescent="0.25">
      <c r="B382" s="15"/>
      <c r="C382" s="15" t="s">
        <v>334</v>
      </c>
      <c r="E382" s="4">
        <v>30</v>
      </c>
      <c r="G382" s="6">
        <v>30</v>
      </c>
      <c r="H382" s="26"/>
      <c r="I382" s="26">
        <v>20</v>
      </c>
    </row>
    <row r="383" spans="2:9" hidden="1" outlineLevel="1" x14ac:dyDescent="0.25">
      <c r="B383" s="15"/>
      <c r="C383" s="15" t="s">
        <v>336</v>
      </c>
      <c r="E383" s="4">
        <v>40</v>
      </c>
      <c r="G383" s="6">
        <v>40</v>
      </c>
      <c r="H383" s="26"/>
      <c r="I383" s="26">
        <v>30</v>
      </c>
    </row>
    <row r="384" spans="2:9" hidden="1" outlineLevel="1" x14ac:dyDescent="0.25">
      <c r="B384" s="15"/>
      <c r="C384" s="15" t="s">
        <v>337</v>
      </c>
      <c r="E384" s="4">
        <v>20</v>
      </c>
      <c r="G384" s="6">
        <v>20</v>
      </c>
      <c r="H384" s="26"/>
      <c r="I384" s="26">
        <v>15</v>
      </c>
    </row>
    <row r="385" spans="2:9" hidden="1" outlineLevel="1" x14ac:dyDescent="0.25">
      <c r="B385" s="15"/>
      <c r="C385" s="15" t="s">
        <v>298</v>
      </c>
      <c r="E385" s="4">
        <v>90</v>
      </c>
      <c r="G385" s="6">
        <v>60</v>
      </c>
      <c r="H385" s="26"/>
      <c r="I385" s="26">
        <v>50</v>
      </c>
    </row>
    <row r="386" spans="2:9" hidden="1" outlineLevel="1" x14ac:dyDescent="0.25">
      <c r="B386" s="15"/>
      <c r="C386" s="15" t="s">
        <v>332</v>
      </c>
      <c r="E386" s="4">
        <v>10</v>
      </c>
      <c r="G386" s="6">
        <v>10</v>
      </c>
      <c r="H386" s="26"/>
      <c r="I386" s="26">
        <v>5</v>
      </c>
    </row>
    <row r="387" spans="2:9" collapsed="1" x14ac:dyDescent="0.25">
      <c r="B387" s="30"/>
      <c r="C387" s="30"/>
      <c r="D387" s="41"/>
      <c r="E387" s="31">
        <f>(1+$D$448+$D$449)*SUM(E375:E386)</f>
        <v>455.1</v>
      </c>
      <c r="F387" s="50"/>
      <c r="G387" s="32">
        <f>(1+$D$448+$D$449)*SUM(G375:G386)</f>
        <v>421.8</v>
      </c>
      <c r="H387" s="53"/>
      <c r="I387" s="33">
        <f>(1+$D$448+$D$449)*SUM(I375:I386)</f>
        <v>318.57000000000005</v>
      </c>
    </row>
    <row r="388" spans="2:9" x14ac:dyDescent="0.25">
      <c r="B388"/>
      <c r="D388" s="38"/>
      <c r="E388"/>
      <c r="F388" s="38"/>
      <c r="G388"/>
      <c r="H388" s="38"/>
      <c r="I388"/>
    </row>
    <row r="389" spans="2:9" x14ac:dyDescent="0.25">
      <c r="B389" s="16" t="s">
        <v>601</v>
      </c>
      <c r="C389" s="15"/>
      <c r="D389" s="43"/>
      <c r="E389" s="5"/>
      <c r="F389" s="52"/>
      <c r="G389" s="7"/>
      <c r="H389" s="27"/>
      <c r="I389" s="27"/>
    </row>
    <row r="390" spans="2:9" hidden="1" outlineLevel="1" x14ac:dyDescent="0.25">
      <c r="B390" s="15"/>
      <c r="C390" s="15" t="s">
        <v>602</v>
      </c>
      <c r="E390" s="4">
        <v>500</v>
      </c>
      <c r="G390" s="6">
        <v>400</v>
      </c>
      <c r="H390" s="26"/>
      <c r="I390" s="26">
        <v>300</v>
      </c>
    </row>
    <row r="391" spans="2:9" hidden="1" outlineLevel="1" x14ac:dyDescent="0.25">
      <c r="B391" s="15"/>
      <c r="C391" s="15" t="s">
        <v>603</v>
      </c>
      <c r="E391" s="4">
        <v>800</v>
      </c>
      <c r="G391" s="6">
        <v>600</v>
      </c>
      <c r="H391" s="26"/>
      <c r="I391" s="26">
        <v>500</v>
      </c>
    </row>
    <row r="392" spans="2:9" collapsed="1" x14ac:dyDescent="0.25">
      <c r="B392" s="30"/>
      <c r="C392" s="30"/>
      <c r="D392" s="41"/>
      <c r="E392" s="31">
        <f>(1+$D$448+$D$449)*SUM(E390:E391)</f>
        <v>1443.0000000000002</v>
      </c>
      <c r="F392" s="50"/>
      <c r="G392" s="32">
        <f>(1+$D$448+$D$449)*SUM(G390:G391)</f>
        <v>1110</v>
      </c>
      <c r="H392" s="53"/>
      <c r="I392" s="33">
        <f>(1+$D$448+$D$449)*SUM(I390:I391)</f>
        <v>888.00000000000011</v>
      </c>
    </row>
    <row r="393" spans="2:9" x14ac:dyDescent="0.25">
      <c r="D393" s="38"/>
      <c r="E393"/>
      <c r="F393" s="38"/>
      <c r="G393"/>
      <c r="H393" s="38"/>
      <c r="I393"/>
    </row>
    <row r="394" spans="2:9" x14ac:dyDescent="0.25">
      <c r="B394" s="16" t="s">
        <v>58</v>
      </c>
      <c r="C394" s="15"/>
      <c r="D394" s="43"/>
      <c r="E394" s="5"/>
      <c r="F394" s="52"/>
      <c r="G394" s="7"/>
      <c r="H394" s="27"/>
      <c r="I394" s="27"/>
    </row>
    <row r="395" spans="2:9" hidden="1" outlineLevel="1" x14ac:dyDescent="0.25">
      <c r="B395" s="15"/>
      <c r="C395" s="15" t="s">
        <v>66</v>
      </c>
      <c r="E395" s="4">
        <v>20</v>
      </c>
      <c r="G395" s="6">
        <v>10</v>
      </c>
      <c r="H395" s="26"/>
      <c r="I395" s="26">
        <v>10</v>
      </c>
    </row>
    <row r="396" spans="2:9" hidden="1" outlineLevel="1" x14ac:dyDescent="0.25">
      <c r="B396" s="15"/>
      <c r="C396" s="15" t="s">
        <v>69</v>
      </c>
      <c r="E396" s="4">
        <v>50</v>
      </c>
      <c r="G396" s="6">
        <v>30</v>
      </c>
      <c r="H396" s="26"/>
      <c r="I396" s="26">
        <v>30</v>
      </c>
    </row>
    <row r="397" spans="2:9" hidden="1" outlineLevel="1" x14ac:dyDescent="0.25">
      <c r="B397" s="15"/>
      <c r="C397" s="15" t="s">
        <v>72</v>
      </c>
      <c r="E397" s="4">
        <v>50</v>
      </c>
      <c r="G397" s="6">
        <v>30</v>
      </c>
      <c r="H397" s="26"/>
      <c r="I397" s="26">
        <v>30</v>
      </c>
    </row>
    <row r="398" spans="2:9" hidden="1" outlineLevel="1" x14ac:dyDescent="0.25">
      <c r="B398" s="15"/>
      <c r="C398" s="15" t="s">
        <v>202</v>
      </c>
      <c r="E398" s="4">
        <v>15</v>
      </c>
      <c r="G398" s="6">
        <v>15</v>
      </c>
      <c r="H398" s="26"/>
      <c r="I398" s="26">
        <v>15</v>
      </c>
    </row>
    <row r="399" spans="2:9" hidden="1" outlineLevel="1" x14ac:dyDescent="0.25">
      <c r="B399" s="15"/>
      <c r="C399" s="15" t="s">
        <v>80</v>
      </c>
      <c r="E399" s="4">
        <v>50</v>
      </c>
      <c r="G399" s="6">
        <v>30</v>
      </c>
      <c r="H399" s="26"/>
      <c r="I399" s="26">
        <v>30</v>
      </c>
    </row>
    <row r="400" spans="2:9" hidden="1" outlineLevel="1" x14ac:dyDescent="0.25">
      <c r="B400" s="15"/>
      <c r="C400" s="15" t="s">
        <v>77</v>
      </c>
      <c r="E400" s="4">
        <v>50</v>
      </c>
      <c r="G400" s="6">
        <v>30</v>
      </c>
      <c r="H400" s="26"/>
      <c r="I400" s="26">
        <v>30</v>
      </c>
    </row>
    <row r="401" spans="2:9" hidden="1" outlineLevel="1" x14ac:dyDescent="0.25">
      <c r="B401" s="15"/>
      <c r="C401" s="15" t="s">
        <v>78</v>
      </c>
      <c r="E401" s="4">
        <v>100</v>
      </c>
      <c r="G401" s="6">
        <v>50</v>
      </c>
      <c r="H401" s="26"/>
      <c r="I401" s="26">
        <v>50</v>
      </c>
    </row>
    <row r="402" spans="2:9" hidden="1" outlineLevel="1" x14ac:dyDescent="0.25">
      <c r="B402" s="15"/>
      <c r="C402" s="15" t="s">
        <v>98</v>
      </c>
      <c r="E402" s="4">
        <v>40</v>
      </c>
      <c r="G402" s="6">
        <v>30</v>
      </c>
      <c r="H402" s="26"/>
      <c r="I402" s="26">
        <v>30</v>
      </c>
    </row>
    <row r="403" spans="2:9" hidden="1" outlineLevel="1" x14ac:dyDescent="0.25">
      <c r="B403" s="15"/>
      <c r="C403" s="15" t="s">
        <v>181</v>
      </c>
      <c r="E403" s="4">
        <v>30</v>
      </c>
      <c r="G403" s="6">
        <v>20</v>
      </c>
      <c r="H403" s="26"/>
      <c r="I403" s="26">
        <v>20</v>
      </c>
    </row>
    <row r="404" spans="2:9" hidden="1" outlineLevel="1" x14ac:dyDescent="0.25">
      <c r="B404" s="15"/>
      <c r="C404" s="15" t="s">
        <v>89</v>
      </c>
      <c r="E404" s="4">
        <v>20</v>
      </c>
      <c r="G404" s="6">
        <v>10</v>
      </c>
      <c r="H404" s="26"/>
      <c r="I404" s="26">
        <v>10</v>
      </c>
    </row>
    <row r="405" spans="2:9" hidden="1" outlineLevel="1" x14ac:dyDescent="0.25">
      <c r="B405" s="15"/>
      <c r="C405" s="15" t="s">
        <v>90</v>
      </c>
      <c r="E405" s="4">
        <v>15</v>
      </c>
      <c r="G405" s="6">
        <v>15</v>
      </c>
      <c r="H405" s="26"/>
      <c r="I405" s="26">
        <v>0</v>
      </c>
    </row>
    <row r="406" spans="2:9" hidden="1" outlineLevel="1" x14ac:dyDescent="0.25">
      <c r="B406" s="15"/>
      <c r="C406" s="15" t="s">
        <v>148</v>
      </c>
      <c r="E406" s="4">
        <v>30</v>
      </c>
      <c r="G406" s="6">
        <v>20</v>
      </c>
      <c r="H406" s="26"/>
      <c r="I406" s="26">
        <v>20</v>
      </c>
    </row>
    <row r="407" spans="2:9" hidden="1" outlineLevel="1" x14ac:dyDescent="0.25">
      <c r="B407" s="15"/>
      <c r="C407" s="15" t="s">
        <v>180</v>
      </c>
      <c r="E407" s="4">
        <v>25</v>
      </c>
      <c r="G407" s="6">
        <v>25</v>
      </c>
      <c r="H407" s="26"/>
      <c r="I407" s="26">
        <v>25</v>
      </c>
    </row>
    <row r="408" spans="2:9" hidden="1" outlineLevel="1" x14ac:dyDescent="0.25">
      <c r="B408" s="15"/>
      <c r="C408" s="15" t="s">
        <v>197</v>
      </c>
      <c r="E408" s="4">
        <v>50</v>
      </c>
      <c r="G408" s="6">
        <v>30</v>
      </c>
      <c r="H408" s="26"/>
      <c r="I408" s="26">
        <v>30</v>
      </c>
    </row>
    <row r="409" spans="2:9" hidden="1" outlineLevel="1" x14ac:dyDescent="0.25">
      <c r="B409" s="15"/>
      <c r="C409" s="15" t="s">
        <v>196</v>
      </c>
      <c r="E409" s="4">
        <v>30</v>
      </c>
      <c r="G409" s="6">
        <v>20</v>
      </c>
      <c r="H409" s="26"/>
      <c r="I409" s="26">
        <v>20</v>
      </c>
    </row>
    <row r="410" spans="2:9" collapsed="1" x14ac:dyDescent="0.25">
      <c r="B410" s="30"/>
      <c r="C410" s="30"/>
      <c r="D410" s="41"/>
      <c r="E410" s="31">
        <f>(1+$D$448+$D$449)*SUM(E395:E409)</f>
        <v>638.25</v>
      </c>
      <c r="F410" s="50"/>
      <c r="G410" s="32">
        <f>(1+$D$448+$D$449)*SUM(G395:G409)</f>
        <v>405.15000000000003</v>
      </c>
      <c r="H410" s="53"/>
      <c r="I410" s="33">
        <f>(1+$D$448+$D$449)*SUM(I395:I409)</f>
        <v>388.50000000000006</v>
      </c>
    </row>
    <row r="411" spans="2:9" x14ac:dyDescent="0.25">
      <c r="D411" s="38"/>
      <c r="E411"/>
      <c r="F411" s="38"/>
      <c r="G411"/>
      <c r="H411" s="38"/>
      <c r="I411"/>
    </row>
    <row r="412" spans="2:9" x14ac:dyDescent="0.25">
      <c r="B412" s="20" t="s">
        <v>281</v>
      </c>
      <c r="C412" s="22"/>
      <c r="D412" s="21"/>
      <c r="E412" s="21"/>
      <c r="F412" s="21"/>
      <c r="G412" s="21"/>
      <c r="H412" s="21"/>
      <c r="I412" s="21"/>
    </row>
    <row r="413" spans="2:9" x14ac:dyDescent="0.25">
      <c r="D413" s="38"/>
      <c r="E413"/>
      <c r="F413" s="38"/>
      <c r="G413"/>
      <c r="H413" s="38"/>
      <c r="I413"/>
    </row>
    <row r="414" spans="2:9" x14ac:dyDescent="0.25">
      <c r="B414" s="16" t="s">
        <v>642</v>
      </c>
      <c r="C414" s="15"/>
      <c r="H414" s="26"/>
      <c r="I414" s="26"/>
    </row>
    <row r="415" spans="2:9" outlineLevel="1" x14ac:dyDescent="0.25">
      <c r="B415" s="15"/>
      <c r="C415" s="15" t="s">
        <v>25</v>
      </c>
      <c r="E415" s="4">
        <v>2000</v>
      </c>
      <c r="G415" s="6">
        <v>1800</v>
      </c>
      <c r="H415" s="26"/>
      <c r="I415" s="26">
        <v>1500</v>
      </c>
    </row>
    <row r="416" spans="2:9" outlineLevel="1" x14ac:dyDescent="0.25">
      <c r="B416" s="15"/>
      <c r="C416" s="15" t="s">
        <v>26</v>
      </c>
      <c r="E416" s="4">
        <v>800</v>
      </c>
      <c r="G416" s="6">
        <v>700</v>
      </c>
      <c r="H416" s="26"/>
      <c r="I416" s="26">
        <v>600</v>
      </c>
    </row>
    <row r="417" spans="2:9" outlineLevel="1" x14ac:dyDescent="0.25">
      <c r="B417" s="15"/>
      <c r="C417" s="15" t="s">
        <v>27</v>
      </c>
      <c r="E417" s="4">
        <v>300</v>
      </c>
      <c r="G417" s="6">
        <v>200</v>
      </c>
      <c r="H417" s="26"/>
      <c r="I417" s="26">
        <v>200</v>
      </c>
    </row>
    <row r="418" spans="2:9" x14ac:dyDescent="0.25">
      <c r="B418" s="30"/>
      <c r="C418" s="30"/>
      <c r="D418" s="41"/>
      <c r="E418" s="31">
        <f>(1+$D$448+$D$449)*SUM(E415:E417)</f>
        <v>3441.0000000000005</v>
      </c>
      <c r="F418" s="50"/>
      <c r="G418" s="32">
        <f>(1+$D$448+$D$449)*SUM(G415:G417)</f>
        <v>2997.0000000000005</v>
      </c>
      <c r="H418" s="53"/>
      <c r="I418" s="33">
        <f>(1+$D$448+$D$449)*SUM(I415:I417)</f>
        <v>2553</v>
      </c>
    </row>
    <row r="419" spans="2:9" x14ac:dyDescent="0.25">
      <c r="D419" s="38"/>
      <c r="E419"/>
      <c r="F419" s="38"/>
      <c r="G419"/>
      <c r="H419" s="38"/>
      <c r="I419"/>
    </row>
    <row r="420" spans="2:9" x14ac:dyDescent="0.25">
      <c r="B420" s="16" t="s">
        <v>8</v>
      </c>
      <c r="C420" s="15"/>
      <c r="H420" s="26"/>
      <c r="I420" s="26"/>
    </row>
    <row r="421" spans="2:9" outlineLevel="1" x14ac:dyDescent="0.25">
      <c r="B421" s="15"/>
      <c r="C421" s="15" t="s">
        <v>25</v>
      </c>
      <c r="E421" s="4">
        <v>800</v>
      </c>
      <c r="G421" s="6">
        <v>600</v>
      </c>
      <c r="H421" s="26"/>
      <c r="I421" s="26">
        <v>400</v>
      </c>
    </row>
    <row r="422" spans="2:9" outlineLevel="1" x14ac:dyDescent="0.25">
      <c r="B422" s="15"/>
      <c r="C422" s="15" t="s">
        <v>643</v>
      </c>
      <c r="E422" s="4">
        <v>300</v>
      </c>
      <c r="G422" s="6">
        <v>200</v>
      </c>
      <c r="H422" s="26"/>
      <c r="I422" s="26">
        <v>100</v>
      </c>
    </row>
    <row r="423" spans="2:9" outlineLevel="1" x14ac:dyDescent="0.25">
      <c r="B423" s="15"/>
      <c r="C423" s="15" t="s">
        <v>27</v>
      </c>
      <c r="E423" s="4">
        <v>150</v>
      </c>
      <c r="G423" s="6">
        <v>100</v>
      </c>
      <c r="H423" s="26"/>
      <c r="I423" s="26">
        <v>50</v>
      </c>
    </row>
    <row r="424" spans="2:9" x14ac:dyDescent="0.25">
      <c r="B424" s="30"/>
      <c r="C424" s="30"/>
      <c r="D424" s="41"/>
      <c r="E424" s="31">
        <f>(1+$D$448+$D$449)*SUM(E421:E423)</f>
        <v>1387.5000000000002</v>
      </c>
      <c r="F424" s="50"/>
      <c r="G424" s="32">
        <f>(1+$D$448+$D$449)*SUM(G421:G423)</f>
        <v>999.00000000000011</v>
      </c>
      <c r="H424" s="53"/>
      <c r="I424" s="33">
        <f>(1+$D$448+$D$449)*SUM(I421:I423)</f>
        <v>610.5</v>
      </c>
    </row>
    <row r="425" spans="2:9" x14ac:dyDescent="0.25">
      <c r="D425" s="38"/>
      <c r="E425"/>
      <c r="F425" s="38"/>
      <c r="G425"/>
      <c r="H425" s="38"/>
      <c r="I425"/>
    </row>
    <row r="426" spans="2:9" x14ac:dyDescent="0.25">
      <c r="B426" s="16" t="s">
        <v>234</v>
      </c>
      <c r="C426" s="15"/>
      <c r="H426" s="26"/>
      <c r="I426" s="26"/>
    </row>
    <row r="427" spans="2:9" hidden="1" outlineLevel="1" x14ac:dyDescent="0.25">
      <c r="B427" s="15"/>
      <c r="C427" s="15" t="s">
        <v>59</v>
      </c>
      <c r="E427" s="4">
        <v>140</v>
      </c>
      <c r="G427" s="6">
        <v>100</v>
      </c>
      <c r="H427" s="26"/>
      <c r="I427" s="26">
        <v>100</v>
      </c>
    </row>
    <row r="428" spans="2:9" hidden="1" outlineLevel="1" x14ac:dyDescent="0.25">
      <c r="B428" s="15"/>
      <c r="C428" s="15" t="s">
        <v>45</v>
      </c>
      <c r="E428" s="4">
        <v>100</v>
      </c>
      <c r="G428" s="6">
        <v>70</v>
      </c>
      <c r="H428" s="26"/>
      <c r="I428" s="26">
        <v>70</v>
      </c>
    </row>
    <row r="429" spans="2:9" hidden="1" outlineLevel="1" x14ac:dyDescent="0.25">
      <c r="B429" s="15"/>
      <c r="C429" s="15" t="s">
        <v>43</v>
      </c>
      <c r="E429" s="4">
        <v>200</v>
      </c>
      <c r="G429" s="6">
        <v>150</v>
      </c>
      <c r="H429" s="26"/>
      <c r="I429" s="26">
        <v>150</v>
      </c>
    </row>
    <row r="430" spans="2:9" hidden="1" outlineLevel="1" x14ac:dyDescent="0.25">
      <c r="B430" s="15"/>
      <c r="C430" s="15" t="s">
        <v>235</v>
      </c>
      <c r="E430" s="4">
        <v>200</v>
      </c>
      <c r="G430" s="6">
        <v>150</v>
      </c>
      <c r="H430" s="26"/>
      <c r="I430" s="26">
        <v>150</v>
      </c>
    </row>
    <row r="431" spans="2:9" collapsed="1" x14ac:dyDescent="0.25">
      <c r="B431" s="30"/>
      <c r="C431" s="30"/>
      <c r="D431" s="41"/>
      <c r="E431" s="31">
        <f>(1+$D$448+$D$449)*SUM(E427:E430)</f>
        <v>710.40000000000009</v>
      </c>
      <c r="F431" s="50"/>
      <c r="G431" s="32">
        <f>(1+$D$448+$D$449)*SUM(G427:G430)</f>
        <v>521.70000000000005</v>
      </c>
      <c r="H431" s="53"/>
      <c r="I431" s="33">
        <f>(1+$D$448+$D$449)*SUM(I427:I430)</f>
        <v>521.70000000000005</v>
      </c>
    </row>
    <row r="432" spans="2:9" x14ac:dyDescent="0.25">
      <c r="D432" s="38"/>
      <c r="E432"/>
      <c r="F432" s="38"/>
      <c r="G432"/>
      <c r="H432" s="38"/>
      <c r="I432"/>
    </row>
    <row r="433" spans="2:9" x14ac:dyDescent="0.25">
      <c r="B433" s="16" t="s">
        <v>101</v>
      </c>
      <c r="C433" s="15"/>
      <c r="H433" s="26"/>
      <c r="I433" s="26"/>
    </row>
    <row r="434" spans="2:9" hidden="1" outlineLevel="1" x14ac:dyDescent="0.25">
      <c r="B434" s="16"/>
      <c r="C434" s="15" t="s">
        <v>242</v>
      </c>
      <c r="D434" s="39" t="s">
        <v>231</v>
      </c>
      <c r="E434" s="4">
        <v>350</v>
      </c>
      <c r="F434" s="48" t="s">
        <v>232</v>
      </c>
      <c r="G434" s="6">
        <v>200</v>
      </c>
      <c r="H434" s="26" t="s">
        <v>232</v>
      </c>
      <c r="I434" s="26">
        <v>200</v>
      </c>
    </row>
    <row r="435" spans="2:9" hidden="1" outlineLevel="1" x14ac:dyDescent="0.25">
      <c r="B435" s="15"/>
      <c r="C435" s="15" t="s">
        <v>214</v>
      </c>
      <c r="E435" s="4">
        <v>50</v>
      </c>
      <c r="G435" s="6">
        <v>50</v>
      </c>
      <c r="H435" s="26"/>
      <c r="I435" s="26">
        <v>50</v>
      </c>
    </row>
    <row r="436" spans="2:9" collapsed="1" x14ac:dyDescent="0.25">
      <c r="B436" s="30"/>
      <c r="C436" s="30"/>
      <c r="D436" s="41"/>
      <c r="E436" s="31">
        <f>(1+$D$448+$D$449)*SUM(E433:E435)</f>
        <v>444.00000000000006</v>
      </c>
      <c r="F436" s="50"/>
      <c r="G436" s="32">
        <f>(1+$D$448+$D$449)*SUM(G433:G435)</f>
        <v>277.5</v>
      </c>
      <c r="H436" s="53"/>
      <c r="I436" s="33">
        <f>(1+$D$448+$D$449)*SUM(I433:I435)</f>
        <v>277.5</v>
      </c>
    </row>
    <row r="437" spans="2:9" x14ac:dyDescent="0.25">
      <c r="B437"/>
      <c r="D437" s="38"/>
      <c r="E437"/>
      <c r="F437" s="38"/>
      <c r="G437"/>
      <c r="H437" s="38"/>
      <c r="I437"/>
    </row>
    <row r="438" spans="2:9" x14ac:dyDescent="0.25">
      <c r="B438" s="20" t="s">
        <v>607</v>
      </c>
      <c r="C438" s="22"/>
      <c r="D438" s="21"/>
      <c r="E438" s="21"/>
      <c r="F438" s="21"/>
      <c r="G438" s="21"/>
      <c r="H438" s="21"/>
      <c r="I438" s="21"/>
    </row>
    <row r="439" spans="2:9" x14ac:dyDescent="0.25">
      <c r="D439" s="38"/>
      <c r="E439"/>
      <c r="F439" s="38"/>
      <c r="G439"/>
      <c r="H439" s="38"/>
      <c r="I439"/>
    </row>
    <row r="440" spans="2:9" x14ac:dyDescent="0.25">
      <c r="B440" s="16" t="s">
        <v>616</v>
      </c>
      <c r="C440" s="15"/>
      <c r="H440" s="26"/>
      <c r="I440" s="26"/>
    </row>
    <row r="441" spans="2:9" outlineLevel="1" x14ac:dyDescent="0.25">
      <c r="B441" s="16"/>
      <c r="C441" s="15" t="s">
        <v>100</v>
      </c>
      <c r="E441" s="4">
        <v>300</v>
      </c>
      <c r="G441" s="6">
        <v>200</v>
      </c>
      <c r="H441" s="26"/>
      <c r="I441" s="26">
        <v>100</v>
      </c>
    </row>
    <row r="442" spans="2:9" outlineLevel="1" x14ac:dyDescent="0.25">
      <c r="B442" s="15"/>
      <c r="C442" s="15" t="s">
        <v>611</v>
      </c>
      <c r="D442" s="39" t="s">
        <v>348</v>
      </c>
      <c r="E442" s="4">
        <v>1600</v>
      </c>
      <c r="F442" s="48" t="s">
        <v>348</v>
      </c>
      <c r="G442" s="6">
        <v>1200</v>
      </c>
      <c r="H442" s="26" t="s">
        <v>347</v>
      </c>
      <c r="I442" s="26">
        <v>500</v>
      </c>
    </row>
    <row r="443" spans="2:9" outlineLevel="1" x14ac:dyDescent="0.25">
      <c r="B443" s="15"/>
      <c r="C443" s="15" t="s">
        <v>613</v>
      </c>
      <c r="D443" s="39" t="s">
        <v>614</v>
      </c>
      <c r="E443" s="4">
        <v>200</v>
      </c>
      <c r="F443" s="48" t="s">
        <v>614</v>
      </c>
      <c r="G443" s="6">
        <v>150</v>
      </c>
      <c r="H443" s="26" t="s">
        <v>615</v>
      </c>
      <c r="I443" s="26">
        <v>50</v>
      </c>
    </row>
    <row r="444" spans="2:9" outlineLevel="1" x14ac:dyDescent="0.25">
      <c r="B444" s="15"/>
      <c r="C444" s="15" t="s">
        <v>612</v>
      </c>
      <c r="D444" s="39" t="s">
        <v>608</v>
      </c>
      <c r="E444" s="4">
        <v>500</v>
      </c>
      <c r="F444" s="48" t="s">
        <v>610</v>
      </c>
      <c r="G444" s="6">
        <v>450</v>
      </c>
      <c r="H444" s="26" t="s">
        <v>609</v>
      </c>
      <c r="I444" s="26">
        <v>300</v>
      </c>
    </row>
    <row r="445" spans="2:9" x14ac:dyDescent="0.25">
      <c r="B445" s="30"/>
      <c r="C445" s="30"/>
      <c r="D445" s="41"/>
      <c r="E445" s="31">
        <f>(1+$D$448+$D$449)*SUM(E440:E444)</f>
        <v>2886.0000000000005</v>
      </c>
      <c r="F445" s="50"/>
      <c r="G445" s="32">
        <f>(1+$D$448+$D$449)*SUM(G440:G444)</f>
        <v>2220</v>
      </c>
      <c r="H445" s="53"/>
      <c r="I445" s="33">
        <f>(1+$D$448+$D$449)*SUM(I440:I444)</f>
        <v>1054.5</v>
      </c>
    </row>
    <row r="446" spans="2:9" ht="15.75" thickBot="1" x14ac:dyDescent="0.3">
      <c r="B446" s="23"/>
      <c r="C446" s="23"/>
      <c r="D446" s="38"/>
      <c r="E446"/>
      <c r="F446" s="38"/>
      <c r="G446"/>
      <c r="H446" s="38"/>
      <c r="I446"/>
    </row>
    <row r="447" spans="2:9" x14ac:dyDescent="0.25">
      <c r="B447" s="25"/>
      <c r="C447" s="25"/>
      <c r="D447" s="44"/>
      <c r="E447" s="10"/>
      <c r="F447" s="44"/>
      <c r="G447" s="10"/>
      <c r="H447" s="44"/>
      <c r="I447" s="10"/>
    </row>
    <row r="448" spans="2:9" x14ac:dyDescent="0.25">
      <c r="B448" s="13" t="s">
        <v>29</v>
      </c>
      <c r="D448" s="45">
        <v>0.06</v>
      </c>
      <c r="E448"/>
      <c r="F448" s="38"/>
      <c r="G448"/>
      <c r="H448" s="38"/>
      <c r="I448"/>
    </row>
    <row r="449" spans="2:9" x14ac:dyDescent="0.25">
      <c r="B449" s="13" t="s">
        <v>30</v>
      </c>
      <c r="D449" s="45">
        <v>0.05</v>
      </c>
      <c r="E449"/>
      <c r="F449" s="38"/>
      <c r="G449"/>
      <c r="H449" s="38"/>
      <c r="I449"/>
    </row>
    <row r="450" spans="2:9" ht="15.75" thickBot="1" x14ac:dyDescent="0.3">
      <c r="B450" s="11"/>
      <c r="C450" s="11"/>
      <c r="D450" s="46"/>
      <c r="E450" s="11"/>
      <c r="F450" s="46"/>
      <c r="G450" s="11"/>
      <c r="H450" s="46"/>
      <c r="I450" s="11"/>
    </row>
    <row r="451" spans="2:9" x14ac:dyDescent="0.25">
      <c r="B451" s="24"/>
      <c r="C451" s="24"/>
      <c r="D451" s="38"/>
      <c r="E451"/>
      <c r="F451" s="38"/>
      <c r="G451"/>
      <c r="H451" s="38"/>
      <c r="I451"/>
    </row>
    <row r="452" spans="2:9" x14ac:dyDescent="0.25">
      <c r="D452" s="38"/>
      <c r="E452"/>
      <c r="F452" s="38"/>
      <c r="G452"/>
      <c r="H452" s="38"/>
      <c r="I452"/>
    </row>
    <row r="453" spans="2:9" x14ac:dyDescent="0.25">
      <c r="D453" s="38"/>
      <c r="E453"/>
      <c r="F453" s="38"/>
      <c r="G453"/>
      <c r="H453" s="38"/>
      <c r="I453"/>
    </row>
    <row r="454" spans="2:9" x14ac:dyDescent="0.25">
      <c r="D454" s="38"/>
      <c r="E454"/>
      <c r="F454" s="38"/>
      <c r="G454"/>
      <c r="H454" s="38"/>
      <c r="I454"/>
    </row>
    <row r="455" spans="2:9" x14ac:dyDescent="0.25">
      <c r="D455" s="38"/>
      <c r="E455"/>
      <c r="F455" s="38"/>
      <c r="G455"/>
      <c r="H455" s="38"/>
      <c r="I455"/>
    </row>
    <row r="456" spans="2:9" x14ac:dyDescent="0.25">
      <c r="D456" s="38"/>
      <c r="E456"/>
      <c r="F456" s="38"/>
      <c r="G456"/>
      <c r="H456" s="38"/>
      <c r="I456"/>
    </row>
    <row r="457" spans="2:9" x14ac:dyDescent="0.25">
      <c r="D457" s="38"/>
      <c r="E457"/>
      <c r="F457" s="38"/>
      <c r="G457"/>
      <c r="H457" s="38"/>
      <c r="I457"/>
    </row>
    <row r="458" spans="2:9" x14ac:dyDescent="0.25">
      <c r="D458" s="38"/>
      <c r="E458"/>
      <c r="F458" s="38"/>
      <c r="G458"/>
      <c r="H458" s="38"/>
      <c r="I458"/>
    </row>
    <row r="459" spans="2:9" x14ac:dyDescent="0.25">
      <c r="D459" s="38"/>
      <c r="E459"/>
      <c r="F459" s="38"/>
      <c r="G459"/>
      <c r="H459" s="38"/>
      <c r="I459"/>
    </row>
    <row r="460" spans="2:9" x14ac:dyDescent="0.25">
      <c r="D460" s="38"/>
      <c r="E460"/>
      <c r="F460" s="38"/>
      <c r="G460"/>
      <c r="H460" s="38"/>
      <c r="I460"/>
    </row>
    <row r="461" spans="2:9" x14ac:dyDescent="0.25">
      <c r="D461" s="38"/>
      <c r="E461"/>
      <c r="F461" s="38"/>
      <c r="G461"/>
      <c r="H461" s="38"/>
      <c r="I461"/>
    </row>
    <row r="462" spans="2:9" x14ac:dyDescent="0.25">
      <c r="D462" s="38"/>
      <c r="E462"/>
      <c r="F462" s="38"/>
      <c r="G462"/>
      <c r="H462" s="38"/>
      <c r="I462"/>
    </row>
    <row r="463" spans="2:9" x14ac:dyDescent="0.25">
      <c r="D463" s="38"/>
      <c r="E463"/>
      <c r="F463" s="38"/>
      <c r="G463"/>
      <c r="H463" s="38"/>
      <c r="I463"/>
    </row>
    <row r="464" spans="2:9" x14ac:dyDescent="0.25">
      <c r="D464" s="38"/>
      <c r="E464"/>
      <c r="F464" s="38"/>
      <c r="G464"/>
      <c r="H464" s="38"/>
      <c r="I464"/>
    </row>
    <row r="465" spans="4:9" x14ac:dyDescent="0.25">
      <c r="D465" s="38"/>
      <c r="E465"/>
      <c r="F465" s="38"/>
      <c r="G465"/>
      <c r="H465" s="38"/>
      <c r="I465"/>
    </row>
    <row r="466" spans="4:9" x14ac:dyDescent="0.25">
      <c r="D466" s="38"/>
      <c r="E466"/>
      <c r="F466" s="38"/>
      <c r="G466"/>
      <c r="H466" s="38"/>
      <c r="I466"/>
    </row>
    <row r="467" spans="4:9" x14ac:dyDescent="0.25">
      <c r="D467" s="38"/>
      <c r="E467"/>
      <c r="F467" s="38"/>
      <c r="G467"/>
      <c r="H467" s="38"/>
      <c r="I467"/>
    </row>
    <row r="468" spans="4:9" x14ac:dyDescent="0.25">
      <c r="D468" s="38"/>
      <c r="E468"/>
      <c r="F468" s="38"/>
      <c r="G468"/>
      <c r="H468" s="38"/>
      <c r="I468"/>
    </row>
    <row r="469" spans="4:9" x14ac:dyDescent="0.25">
      <c r="D469" s="38"/>
      <c r="E469"/>
      <c r="F469" s="38"/>
      <c r="G469"/>
      <c r="H469" s="38"/>
      <c r="I469"/>
    </row>
    <row r="470" spans="4:9" x14ac:dyDescent="0.25">
      <c r="D470" s="38"/>
      <c r="E470"/>
      <c r="F470" s="38"/>
      <c r="G470"/>
      <c r="H470" s="38"/>
      <c r="I470"/>
    </row>
    <row r="471" spans="4:9" x14ac:dyDescent="0.25">
      <c r="D471" s="38"/>
      <c r="E471"/>
      <c r="F471" s="38"/>
      <c r="G471"/>
      <c r="H471" s="38"/>
      <c r="I471"/>
    </row>
    <row r="472" spans="4:9" x14ac:dyDescent="0.25">
      <c r="D472" s="38"/>
      <c r="E472"/>
      <c r="F472" s="38"/>
      <c r="G472"/>
      <c r="H472" s="38"/>
      <c r="I472"/>
    </row>
    <row r="473" spans="4:9" x14ac:dyDescent="0.25">
      <c r="D473" s="38"/>
      <c r="E473"/>
      <c r="F473" s="38"/>
      <c r="G473"/>
      <c r="H473" s="38"/>
      <c r="I473"/>
    </row>
    <row r="474" spans="4:9" x14ac:dyDescent="0.25">
      <c r="D474" s="38"/>
      <c r="E474"/>
      <c r="F474" s="38"/>
      <c r="G474"/>
      <c r="H474" s="38"/>
      <c r="I474"/>
    </row>
    <row r="475" spans="4:9" x14ac:dyDescent="0.25">
      <c r="D475" s="38"/>
      <c r="E475"/>
      <c r="F475" s="38"/>
      <c r="G475"/>
      <c r="H475" s="38"/>
      <c r="I475"/>
    </row>
    <row r="476" spans="4:9" x14ac:dyDescent="0.25">
      <c r="D476" s="38"/>
      <c r="E476"/>
      <c r="F476" s="38"/>
      <c r="G476"/>
      <c r="H476" s="38"/>
      <c r="I476"/>
    </row>
    <row r="477" spans="4:9" x14ac:dyDescent="0.25">
      <c r="D477" s="38"/>
      <c r="E477"/>
      <c r="F477" s="38"/>
      <c r="G477"/>
      <c r="H477" s="38"/>
      <c r="I477"/>
    </row>
    <row r="478" spans="4:9" x14ac:dyDescent="0.25">
      <c r="D478" s="38"/>
      <c r="E478"/>
      <c r="F478" s="38"/>
      <c r="G478"/>
      <c r="H478" s="38"/>
      <c r="I478"/>
    </row>
    <row r="479" spans="4:9" x14ac:dyDescent="0.25">
      <c r="D479" s="38"/>
      <c r="E479"/>
      <c r="F479" s="38"/>
      <c r="G479"/>
      <c r="H479" s="38"/>
      <c r="I479"/>
    </row>
    <row r="480" spans="4:9" x14ac:dyDescent="0.25">
      <c r="D480" s="38"/>
      <c r="E480"/>
      <c r="F480" s="38"/>
      <c r="G480"/>
      <c r="H480" s="38"/>
      <c r="I480"/>
    </row>
    <row r="481" spans="4:9" x14ac:dyDescent="0.25">
      <c r="D481" s="38"/>
      <c r="E481"/>
      <c r="F481" s="38"/>
      <c r="G481"/>
      <c r="H481" s="38"/>
      <c r="I481"/>
    </row>
    <row r="482" spans="4:9" x14ac:dyDescent="0.25">
      <c r="D482" s="38"/>
      <c r="E482"/>
      <c r="F482" s="38"/>
      <c r="G482"/>
      <c r="H482" s="38"/>
      <c r="I482"/>
    </row>
    <row r="483" spans="4:9" x14ac:dyDescent="0.25">
      <c r="D483" s="38"/>
      <c r="E483"/>
      <c r="F483" s="38"/>
      <c r="G483"/>
      <c r="H483" s="38"/>
      <c r="I483"/>
    </row>
    <row r="484" spans="4:9" x14ac:dyDescent="0.25">
      <c r="D484" s="38"/>
      <c r="E484"/>
      <c r="F484" s="38"/>
      <c r="G484"/>
      <c r="H484" s="38"/>
      <c r="I484"/>
    </row>
    <row r="485" spans="4:9" x14ac:dyDescent="0.25">
      <c r="D485" s="38"/>
      <c r="E485"/>
      <c r="F485" s="38"/>
      <c r="G485"/>
      <c r="H485" s="38"/>
      <c r="I485"/>
    </row>
    <row r="486" spans="4:9" x14ac:dyDescent="0.25">
      <c r="D486" s="38"/>
      <c r="E486"/>
      <c r="F486" s="38"/>
      <c r="G486"/>
      <c r="H486" s="38"/>
      <c r="I486"/>
    </row>
    <row r="487" spans="4:9" x14ac:dyDescent="0.25">
      <c r="D487" s="38"/>
      <c r="E487"/>
      <c r="F487" s="38"/>
      <c r="G487"/>
      <c r="H487" s="38"/>
      <c r="I487"/>
    </row>
    <row r="488" spans="4:9" x14ac:dyDescent="0.25">
      <c r="D488" s="38"/>
      <c r="E488"/>
      <c r="F488" s="38"/>
      <c r="G488"/>
      <c r="H488" s="38"/>
      <c r="I488"/>
    </row>
    <row r="489" spans="4:9" x14ac:dyDescent="0.25">
      <c r="D489" s="38"/>
      <c r="E489"/>
      <c r="F489" s="38"/>
      <c r="G489"/>
      <c r="H489" s="38"/>
      <c r="I489"/>
    </row>
    <row r="490" spans="4:9" x14ac:dyDescent="0.25">
      <c r="D490" s="38"/>
      <c r="E490"/>
      <c r="F490" s="38"/>
      <c r="G490"/>
      <c r="H490" s="38"/>
      <c r="I490"/>
    </row>
    <row r="491" spans="4:9" x14ac:dyDescent="0.25">
      <c r="D491" s="38"/>
      <c r="E491"/>
      <c r="F491" s="38"/>
      <c r="G491"/>
      <c r="H491" s="38"/>
      <c r="I491"/>
    </row>
    <row r="492" spans="4:9" x14ac:dyDescent="0.25">
      <c r="D492" s="38"/>
      <c r="E492"/>
      <c r="F492" s="38"/>
      <c r="G492"/>
      <c r="H492" s="38"/>
      <c r="I492"/>
    </row>
    <row r="493" spans="4:9" x14ac:dyDescent="0.25">
      <c r="D493" s="38"/>
      <c r="E493"/>
      <c r="F493" s="38"/>
      <c r="G493"/>
      <c r="H493" s="38"/>
      <c r="I493"/>
    </row>
    <row r="494" spans="4:9" x14ac:dyDescent="0.25">
      <c r="D494" s="38"/>
      <c r="E494"/>
      <c r="F494" s="38"/>
      <c r="G494"/>
      <c r="H494" s="38"/>
      <c r="I494"/>
    </row>
    <row r="495" spans="4:9" x14ac:dyDescent="0.25">
      <c r="D495" s="38"/>
      <c r="E495"/>
      <c r="F495" s="38"/>
      <c r="G495"/>
      <c r="H495" s="38"/>
      <c r="I495"/>
    </row>
    <row r="496" spans="4:9" x14ac:dyDescent="0.25">
      <c r="D496" s="38"/>
      <c r="E496"/>
      <c r="F496" s="38"/>
      <c r="G496"/>
      <c r="H496" s="38"/>
      <c r="I496"/>
    </row>
    <row r="497" spans="4:9" x14ac:dyDescent="0.25">
      <c r="D497" s="38"/>
      <c r="E497"/>
      <c r="F497" s="38"/>
      <c r="G497"/>
      <c r="H497" s="38"/>
      <c r="I497"/>
    </row>
    <row r="498" spans="4:9" x14ac:dyDescent="0.25">
      <c r="D498" s="38"/>
      <c r="E498"/>
      <c r="F498" s="38"/>
      <c r="G498"/>
      <c r="H498" s="38"/>
      <c r="I498"/>
    </row>
    <row r="499" spans="4:9" x14ac:dyDescent="0.25">
      <c r="D499" s="38"/>
      <c r="E499"/>
      <c r="F499" s="38"/>
      <c r="G499"/>
      <c r="H499" s="38"/>
      <c r="I499"/>
    </row>
    <row r="500" spans="4:9" x14ac:dyDescent="0.25">
      <c r="D500" s="38"/>
      <c r="E500"/>
      <c r="F500" s="38"/>
      <c r="G500"/>
      <c r="H500" s="38"/>
      <c r="I500"/>
    </row>
    <row r="501" spans="4:9" x14ac:dyDescent="0.25">
      <c r="D501" s="38"/>
      <c r="E501"/>
      <c r="F501" s="38"/>
      <c r="G501"/>
      <c r="H501" s="38"/>
      <c r="I501"/>
    </row>
    <row r="502" spans="4:9" x14ac:dyDescent="0.25">
      <c r="D502" s="38"/>
      <c r="E502"/>
      <c r="F502" s="38"/>
      <c r="G502"/>
      <c r="H502" s="38"/>
      <c r="I502"/>
    </row>
    <row r="503" spans="4:9" x14ac:dyDescent="0.25">
      <c r="D503" s="38"/>
      <c r="E503"/>
      <c r="F503" s="38"/>
      <c r="G503"/>
      <c r="H503" s="38"/>
      <c r="I503"/>
    </row>
    <row r="504" spans="4:9" x14ac:dyDescent="0.25">
      <c r="D504" s="38"/>
      <c r="E504"/>
      <c r="F504" s="38"/>
      <c r="G504"/>
      <c r="H504" s="38"/>
      <c r="I504"/>
    </row>
    <row r="505" spans="4:9" x14ac:dyDescent="0.25">
      <c r="D505" s="38"/>
      <c r="E505"/>
      <c r="F505" s="38"/>
      <c r="G505"/>
      <c r="H505" s="38"/>
      <c r="I505"/>
    </row>
    <row r="506" spans="4:9" x14ac:dyDescent="0.25">
      <c r="D506" s="38"/>
      <c r="E506"/>
      <c r="F506" s="38"/>
      <c r="G506"/>
      <c r="H506" s="38"/>
      <c r="I506"/>
    </row>
    <row r="507" spans="4:9" x14ac:dyDescent="0.25">
      <c r="D507" s="38"/>
      <c r="E507"/>
      <c r="F507" s="38"/>
      <c r="G507"/>
      <c r="H507" s="38"/>
      <c r="I507"/>
    </row>
    <row r="508" spans="4:9" x14ac:dyDescent="0.25">
      <c r="D508" s="38"/>
      <c r="E508"/>
      <c r="F508" s="38"/>
      <c r="G508"/>
      <c r="H508" s="38"/>
      <c r="I508"/>
    </row>
    <row r="509" spans="4:9" x14ac:dyDescent="0.25">
      <c r="D509" s="38"/>
      <c r="E509"/>
      <c r="F509" s="38"/>
      <c r="G509"/>
      <c r="H509" s="38"/>
      <c r="I509"/>
    </row>
    <row r="510" spans="4:9" x14ac:dyDescent="0.25">
      <c r="D510" s="38"/>
      <c r="E510"/>
      <c r="F510" s="38"/>
      <c r="G510"/>
      <c r="H510" s="38"/>
      <c r="I510"/>
    </row>
    <row r="511" spans="4:9" x14ac:dyDescent="0.25">
      <c r="D511" s="38"/>
      <c r="E511"/>
      <c r="F511" s="38"/>
      <c r="G511"/>
      <c r="H511" s="38"/>
      <c r="I511"/>
    </row>
    <row r="512" spans="4:9" x14ac:dyDescent="0.25">
      <c r="D512" s="38"/>
      <c r="E512"/>
      <c r="F512" s="38"/>
      <c r="G512"/>
      <c r="H512" s="38"/>
      <c r="I512"/>
    </row>
    <row r="513" spans="4:9" x14ac:dyDescent="0.25">
      <c r="D513" s="38"/>
      <c r="E513"/>
      <c r="F513" s="38"/>
      <c r="G513"/>
      <c r="H513" s="38"/>
      <c r="I513"/>
    </row>
    <row r="514" spans="4:9" x14ac:dyDescent="0.25">
      <c r="D514" s="38"/>
      <c r="E514"/>
      <c r="F514" s="38"/>
      <c r="G514"/>
      <c r="H514" s="38"/>
      <c r="I514"/>
    </row>
    <row r="515" spans="4:9" x14ac:dyDescent="0.25">
      <c r="D515" s="38"/>
      <c r="E515"/>
      <c r="F515" s="38"/>
      <c r="G515"/>
      <c r="H515" s="38"/>
      <c r="I515"/>
    </row>
    <row r="516" spans="4:9" x14ac:dyDescent="0.25">
      <c r="D516" s="38"/>
      <c r="E516"/>
      <c r="F516" s="38"/>
      <c r="G516"/>
      <c r="H516" s="38"/>
      <c r="I516"/>
    </row>
    <row r="517" spans="4:9" x14ac:dyDescent="0.25">
      <c r="D517" s="38"/>
      <c r="E517"/>
      <c r="F517" s="38"/>
      <c r="G517"/>
      <c r="H517" s="38"/>
      <c r="I517"/>
    </row>
    <row r="518" spans="4:9" x14ac:dyDescent="0.25">
      <c r="D518" s="38"/>
      <c r="E518"/>
      <c r="F518" s="38"/>
      <c r="G518"/>
      <c r="H518" s="38"/>
      <c r="I518"/>
    </row>
    <row r="519" spans="4:9" x14ac:dyDescent="0.25">
      <c r="D519" s="38"/>
      <c r="E519"/>
      <c r="F519" s="38"/>
      <c r="G519"/>
      <c r="H519" s="38"/>
      <c r="I519"/>
    </row>
    <row r="520" spans="4:9" x14ac:dyDescent="0.25">
      <c r="D520" s="38"/>
      <c r="E520"/>
      <c r="F520" s="38"/>
      <c r="G520"/>
      <c r="H520" s="38"/>
      <c r="I520"/>
    </row>
    <row r="521" spans="4:9" x14ac:dyDescent="0.25">
      <c r="D521" s="38"/>
      <c r="E521"/>
      <c r="F521" s="38"/>
      <c r="G521"/>
      <c r="H521" s="38"/>
      <c r="I521"/>
    </row>
    <row r="522" spans="4:9" x14ac:dyDescent="0.25">
      <c r="D522" s="38"/>
      <c r="E522"/>
      <c r="F522" s="38"/>
      <c r="G522"/>
      <c r="H522" s="38"/>
      <c r="I522"/>
    </row>
    <row r="523" spans="4:9" x14ac:dyDescent="0.25">
      <c r="D523" s="38"/>
      <c r="E523"/>
      <c r="F523" s="38"/>
      <c r="G523"/>
      <c r="H523" s="38"/>
      <c r="I523"/>
    </row>
    <row r="524" spans="4:9" x14ac:dyDescent="0.25">
      <c r="D524" s="38"/>
      <c r="E524"/>
      <c r="F524" s="38"/>
      <c r="G524"/>
      <c r="H524" s="38"/>
      <c r="I524"/>
    </row>
    <row r="525" spans="4:9" x14ac:dyDescent="0.25">
      <c r="D525" s="38"/>
      <c r="E525"/>
      <c r="F525" s="38"/>
      <c r="G525"/>
      <c r="H525" s="38"/>
      <c r="I525"/>
    </row>
    <row r="526" spans="4:9" x14ac:dyDescent="0.25">
      <c r="D526" s="38"/>
      <c r="E526"/>
      <c r="F526" s="38"/>
      <c r="G526"/>
      <c r="H526" s="38"/>
      <c r="I526"/>
    </row>
    <row r="527" spans="4:9" x14ac:dyDescent="0.25">
      <c r="D527" s="38"/>
      <c r="E527"/>
      <c r="F527" s="38"/>
      <c r="G527"/>
      <c r="H527" s="38"/>
      <c r="I527"/>
    </row>
    <row r="528" spans="4:9" x14ac:dyDescent="0.25">
      <c r="D528" s="38"/>
      <c r="E528"/>
      <c r="F528" s="38"/>
      <c r="G528"/>
      <c r="H528" s="38"/>
      <c r="I528"/>
    </row>
    <row r="529" spans="4:9" x14ac:dyDescent="0.25">
      <c r="D529" s="38"/>
      <c r="E529"/>
      <c r="F529" s="38"/>
      <c r="G529"/>
      <c r="H529" s="38"/>
      <c r="I529"/>
    </row>
    <row r="530" spans="4:9" x14ac:dyDescent="0.25">
      <c r="D530" s="38"/>
      <c r="E530"/>
      <c r="F530" s="38"/>
      <c r="G530"/>
      <c r="H530" s="38"/>
      <c r="I530"/>
    </row>
    <row r="531" spans="4:9" x14ac:dyDescent="0.25">
      <c r="D531" s="38"/>
      <c r="E531"/>
      <c r="F531" s="38"/>
      <c r="G531"/>
      <c r="H531" s="38"/>
      <c r="I531"/>
    </row>
    <row r="532" spans="4:9" x14ac:dyDescent="0.25">
      <c r="D532" s="38"/>
      <c r="E532"/>
      <c r="F532" s="38"/>
      <c r="G532"/>
      <c r="H532" s="38"/>
      <c r="I532"/>
    </row>
    <row r="533" spans="4:9" x14ac:dyDescent="0.25">
      <c r="D533" s="38"/>
      <c r="E533"/>
      <c r="F533" s="38"/>
      <c r="G533"/>
      <c r="H533" s="38"/>
      <c r="I533"/>
    </row>
    <row r="534" spans="4:9" x14ac:dyDescent="0.25">
      <c r="D534" s="38"/>
      <c r="E534"/>
      <c r="F534" s="38"/>
      <c r="G534"/>
      <c r="H534" s="38"/>
      <c r="I534"/>
    </row>
    <row r="535" spans="4:9" x14ac:dyDescent="0.25">
      <c r="D535" s="38"/>
      <c r="E535"/>
      <c r="F535" s="38"/>
      <c r="G535"/>
      <c r="H535" s="38"/>
      <c r="I535"/>
    </row>
    <row r="536" spans="4:9" x14ac:dyDescent="0.25">
      <c r="D536" s="38"/>
      <c r="E536"/>
      <c r="F536" s="38"/>
      <c r="G536"/>
      <c r="H536" s="38"/>
      <c r="I536"/>
    </row>
    <row r="537" spans="4:9" x14ac:dyDescent="0.25">
      <c r="D537" s="38"/>
      <c r="E537"/>
      <c r="F537" s="38"/>
      <c r="G537"/>
      <c r="H537" s="38"/>
      <c r="I537"/>
    </row>
    <row r="538" spans="4:9" x14ac:dyDescent="0.25">
      <c r="D538" s="38"/>
      <c r="E538"/>
      <c r="F538" s="38"/>
      <c r="G538"/>
      <c r="H538" s="38"/>
      <c r="I538"/>
    </row>
    <row r="539" spans="4:9" x14ac:dyDescent="0.25">
      <c r="D539" s="38"/>
      <c r="E539"/>
      <c r="F539" s="38"/>
      <c r="G539"/>
      <c r="H539" s="38"/>
      <c r="I539"/>
    </row>
    <row r="540" spans="4:9" x14ac:dyDescent="0.25">
      <c r="D540" s="38"/>
      <c r="E540"/>
      <c r="F540" s="38"/>
      <c r="G540"/>
      <c r="H540" s="38"/>
      <c r="I540"/>
    </row>
    <row r="541" spans="4:9" x14ac:dyDescent="0.25">
      <c r="D541" s="38"/>
      <c r="E541"/>
      <c r="F541" s="38"/>
      <c r="G541"/>
      <c r="H541" s="38"/>
      <c r="I541"/>
    </row>
    <row r="542" spans="4:9" x14ac:dyDescent="0.25">
      <c r="D542" s="38"/>
      <c r="E542"/>
      <c r="F542" s="38"/>
      <c r="G542"/>
      <c r="H542" s="38"/>
      <c r="I542"/>
    </row>
    <row r="543" spans="4:9" x14ac:dyDescent="0.25">
      <c r="D543" s="38"/>
      <c r="E543"/>
      <c r="F543" s="38"/>
      <c r="G543"/>
      <c r="H543" s="38"/>
      <c r="I543"/>
    </row>
    <row r="544" spans="4:9" x14ac:dyDescent="0.25">
      <c r="D544" s="38"/>
      <c r="E544"/>
      <c r="F544" s="38"/>
      <c r="G544"/>
      <c r="H544" s="38"/>
      <c r="I544"/>
    </row>
    <row r="545" spans="4:9" x14ac:dyDescent="0.25">
      <c r="D545" s="38"/>
      <c r="E545"/>
      <c r="F545" s="38"/>
      <c r="G545"/>
      <c r="H545" s="38"/>
      <c r="I545"/>
    </row>
    <row r="546" spans="4:9" x14ac:dyDescent="0.25">
      <c r="D546" s="38"/>
      <c r="E546"/>
      <c r="F546" s="38"/>
      <c r="G546"/>
      <c r="H546" s="38"/>
      <c r="I546"/>
    </row>
    <row r="547" spans="4:9" x14ac:dyDescent="0.25">
      <c r="D547" s="38"/>
      <c r="E547"/>
      <c r="F547" s="38"/>
      <c r="G547"/>
      <c r="H547" s="38"/>
      <c r="I547"/>
    </row>
    <row r="548" spans="4:9" x14ac:dyDescent="0.25">
      <c r="D548" s="38"/>
      <c r="E548"/>
      <c r="F548" s="38"/>
      <c r="G548"/>
      <c r="H548" s="38"/>
      <c r="I548"/>
    </row>
    <row r="549" spans="4:9" x14ac:dyDescent="0.25">
      <c r="D549" s="38"/>
      <c r="E549"/>
      <c r="F549" s="38"/>
      <c r="G549"/>
      <c r="H549" s="38"/>
      <c r="I549"/>
    </row>
    <row r="550" spans="4:9" x14ac:dyDescent="0.25">
      <c r="D550" s="38"/>
      <c r="E550"/>
      <c r="F550" s="38"/>
      <c r="G550"/>
      <c r="H550" s="38"/>
      <c r="I550"/>
    </row>
    <row r="551" spans="4:9" x14ac:dyDescent="0.25">
      <c r="D551" s="38"/>
      <c r="E551"/>
      <c r="F551" s="38"/>
      <c r="G551"/>
      <c r="H551" s="38"/>
      <c r="I551"/>
    </row>
    <row r="552" spans="4:9" x14ac:dyDescent="0.25">
      <c r="D552" s="38"/>
      <c r="E552"/>
      <c r="F552" s="38"/>
      <c r="G552"/>
      <c r="H552" s="38"/>
      <c r="I552"/>
    </row>
    <row r="553" spans="4:9" x14ac:dyDescent="0.25">
      <c r="D553" s="38"/>
      <c r="E553"/>
      <c r="F553" s="38"/>
      <c r="G553"/>
      <c r="H553" s="38"/>
      <c r="I553"/>
    </row>
    <row r="554" spans="4:9" x14ac:dyDescent="0.25">
      <c r="D554" s="38"/>
      <c r="E554"/>
      <c r="F554" s="38"/>
      <c r="G554"/>
      <c r="H554" s="38"/>
      <c r="I554"/>
    </row>
    <row r="555" spans="4:9" x14ac:dyDescent="0.25">
      <c r="D555" s="38"/>
      <c r="E555"/>
      <c r="F555" s="38"/>
      <c r="G555"/>
      <c r="H555" s="38"/>
      <c r="I555"/>
    </row>
    <row r="556" spans="4:9" x14ac:dyDescent="0.25">
      <c r="D556" s="38"/>
      <c r="E556"/>
      <c r="F556" s="38"/>
      <c r="G556"/>
      <c r="H556" s="38"/>
      <c r="I556"/>
    </row>
    <row r="557" spans="4:9" x14ac:dyDescent="0.25">
      <c r="D557" s="38"/>
      <c r="E557"/>
      <c r="F557" s="38"/>
      <c r="G557"/>
      <c r="H557" s="38"/>
      <c r="I557"/>
    </row>
    <row r="558" spans="4:9" x14ac:dyDescent="0.25">
      <c r="D558" s="38"/>
      <c r="E558"/>
      <c r="F558" s="38"/>
      <c r="G558"/>
      <c r="H558" s="38"/>
      <c r="I558"/>
    </row>
    <row r="559" spans="4:9" x14ac:dyDescent="0.25">
      <c r="D559" s="38"/>
      <c r="E559"/>
      <c r="F559" s="38"/>
      <c r="G559"/>
      <c r="H559" s="38"/>
      <c r="I559"/>
    </row>
    <row r="560" spans="4:9" x14ac:dyDescent="0.25">
      <c r="D560" s="38"/>
      <c r="E560"/>
      <c r="F560" s="38"/>
      <c r="G560"/>
      <c r="H560" s="38"/>
      <c r="I560"/>
    </row>
    <row r="561" spans="4:9" x14ac:dyDescent="0.25">
      <c r="D561" s="38"/>
      <c r="E561"/>
      <c r="F561" s="38"/>
      <c r="G561"/>
      <c r="H561" s="38"/>
      <c r="I561"/>
    </row>
    <row r="562" spans="4:9" x14ac:dyDescent="0.25">
      <c r="D562" s="38"/>
      <c r="E562"/>
      <c r="F562" s="38"/>
      <c r="G562"/>
      <c r="H562" s="38"/>
      <c r="I562"/>
    </row>
    <row r="563" spans="4:9" x14ac:dyDescent="0.25">
      <c r="D563" s="38"/>
      <c r="E563"/>
      <c r="F563" s="38"/>
      <c r="G563"/>
      <c r="H563" s="38"/>
      <c r="I563"/>
    </row>
    <row r="564" spans="4:9" x14ac:dyDescent="0.25">
      <c r="D564" s="38"/>
      <c r="E564"/>
      <c r="F564" s="38"/>
      <c r="G564"/>
      <c r="H564" s="38"/>
      <c r="I564"/>
    </row>
    <row r="565" spans="4:9" x14ac:dyDescent="0.25">
      <c r="D565" s="38"/>
      <c r="E565"/>
      <c r="F565" s="38"/>
      <c r="G565"/>
      <c r="H565" s="38"/>
      <c r="I565"/>
    </row>
    <row r="566" spans="4:9" x14ac:dyDescent="0.25">
      <c r="D566" s="38"/>
      <c r="E566"/>
      <c r="F566" s="38"/>
      <c r="G566"/>
      <c r="H566" s="38"/>
      <c r="I566"/>
    </row>
    <row r="567" spans="4:9" x14ac:dyDescent="0.25">
      <c r="D567" s="38"/>
      <c r="E567"/>
      <c r="F567" s="38"/>
      <c r="G567"/>
      <c r="H567" s="38"/>
      <c r="I567"/>
    </row>
    <row r="568" spans="4:9" x14ac:dyDescent="0.25">
      <c r="D568" s="38"/>
      <c r="E568"/>
      <c r="F568" s="38"/>
      <c r="G568"/>
      <c r="H568" s="38"/>
      <c r="I568"/>
    </row>
    <row r="569" spans="4:9" x14ac:dyDescent="0.25">
      <c r="D569" s="38"/>
      <c r="E569"/>
      <c r="F569" s="38"/>
      <c r="G569"/>
      <c r="H569" s="38"/>
      <c r="I569"/>
    </row>
    <row r="570" spans="4:9" x14ac:dyDescent="0.25">
      <c r="D570" s="38"/>
      <c r="E570"/>
      <c r="F570" s="38"/>
      <c r="G570"/>
      <c r="H570" s="38"/>
      <c r="I570"/>
    </row>
    <row r="571" spans="4:9" x14ac:dyDescent="0.25">
      <c r="D571" s="38"/>
      <c r="E571"/>
      <c r="F571" s="38"/>
      <c r="G571"/>
      <c r="H571" s="38"/>
      <c r="I571"/>
    </row>
    <row r="572" spans="4:9" x14ac:dyDescent="0.25">
      <c r="D572" s="38"/>
      <c r="E572"/>
      <c r="F572" s="38"/>
      <c r="G572"/>
      <c r="H572" s="38"/>
      <c r="I572"/>
    </row>
    <row r="573" spans="4:9" x14ac:dyDescent="0.25">
      <c r="D573" s="38"/>
      <c r="E573"/>
      <c r="F573" s="38"/>
      <c r="G573"/>
      <c r="H573" s="38"/>
      <c r="I573"/>
    </row>
    <row r="574" spans="4:9" x14ac:dyDescent="0.25">
      <c r="D574" s="38"/>
      <c r="E574"/>
      <c r="F574" s="38"/>
      <c r="G574"/>
      <c r="H574" s="38"/>
      <c r="I574"/>
    </row>
    <row r="575" spans="4:9" x14ac:dyDescent="0.25">
      <c r="D575" s="38"/>
      <c r="E575"/>
      <c r="F575" s="38"/>
      <c r="G575"/>
      <c r="H575" s="38"/>
      <c r="I575"/>
    </row>
    <row r="576" spans="4:9" x14ac:dyDescent="0.25">
      <c r="D576" s="38"/>
      <c r="E576"/>
      <c r="F576" s="38"/>
      <c r="G576"/>
      <c r="H576" s="38"/>
      <c r="I576"/>
    </row>
    <row r="577" spans="4:9" x14ac:dyDescent="0.25">
      <c r="D577" s="38"/>
      <c r="E577"/>
      <c r="F577" s="38"/>
      <c r="G577"/>
      <c r="H577" s="38"/>
      <c r="I577"/>
    </row>
    <row r="578" spans="4:9" x14ac:dyDescent="0.25">
      <c r="D578" s="38"/>
      <c r="E578"/>
      <c r="F578" s="38"/>
      <c r="G578"/>
      <c r="H578" s="38"/>
      <c r="I578"/>
    </row>
    <row r="579" spans="4:9" x14ac:dyDescent="0.25">
      <c r="D579" s="38"/>
      <c r="E579"/>
      <c r="F579" s="38"/>
      <c r="G579"/>
      <c r="H579" s="38"/>
      <c r="I579"/>
    </row>
    <row r="580" spans="4:9" x14ac:dyDescent="0.25">
      <c r="D580" s="38"/>
      <c r="E580"/>
      <c r="F580" s="38"/>
      <c r="G580"/>
      <c r="H580" s="38"/>
      <c r="I580"/>
    </row>
    <row r="581" spans="4:9" x14ac:dyDescent="0.25">
      <c r="D581" s="38"/>
      <c r="E581"/>
      <c r="F581" s="38"/>
      <c r="G581"/>
      <c r="H581" s="38"/>
      <c r="I581"/>
    </row>
  </sheetData>
  <mergeCells count="3">
    <mergeCell ref="D2:E2"/>
    <mergeCell ref="F2:G2"/>
    <mergeCell ref="H2:I2"/>
  </mergeCells>
  <conditionalFormatting sqref="H6:I6">
    <cfRule type="dataBar" priority="1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{FDDADAEF-8699-4E36-A3E9-E00A217889B5}</x14:id>
        </ext>
      </extLst>
    </cfRule>
  </conditionalFormatting>
  <conditionalFormatting sqref="I16">
    <cfRule type="dataBar" priority="3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{400A56FC-3773-4DCC-A0AF-2A3A0B1DFFCB}</x14:id>
        </ext>
      </extLst>
    </cfRule>
  </conditionalFormatting>
  <conditionalFormatting sqref="I23">
    <cfRule type="dataBar" priority="1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{7A5EE86C-DEAD-4342-AE4F-013A05C4203F}</x14:id>
        </ext>
      </extLst>
    </cfRule>
  </conditionalFormatting>
  <conditionalFormatting sqref="I32">
    <cfRule type="dataBar" priority="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{04762B72-8B66-4E0A-892A-3686630231E9}</x14:id>
        </ext>
      </extLst>
    </cfRule>
  </conditionalFormatting>
  <conditionalFormatting sqref="I41">
    <cfRule type="dataBar" priority="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{0715AF0E-6D1A-4A41-8686-0D977168536A}</x14:id>
        </ext>
      </extLst>
    </cfRule>
  </conditionalFormatting>
  <conditionalFormatting sqref="I45">
    <cfRule type="dataBar" priority="12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{C00D6CA6-950C-4FED-9313-355BDD4A296A}</x14:id>
        </ext>
      </extLst>
    </cfRule>
  </conditionalFormatting>
  <conditionalFormatting sqref="I60">
    <cfRule type="dataBar" priority="11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{176E3882-C0E9-4C40-87A8-60CC77E34EB8}</x14:id>
        </ext>
      </extLst>
    </cfRule>
  </conditionalFormatting>
  <conditionalFormatting sqref="I80">
    <cfRule type="dataBar" priority="10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{311272D8-B1F2-4D97-AA75-6243D924067D}</x14:id>
        </ext>
      </extLst>
    </cfRule>
  </conditionalFormatting>
  <conditionalFormatting sqref="I86">
    <cfRule type="dataBar" priority="9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{98E03577-E622-4096-AB09-EDA48E791B6C}</x14:id>
        </ext>
      </extLst>
    </cfRule>
  </conditionalFormatting>
  <conditionalFormatting sqref="I93">
    <cfRule type="dataBar" priority="8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{D8C4FD73-82A8-430D-B3AF-D247E8915BF5}</x14:id>
        </ext>
      </extLst>
    </cfRule>
  </conditionalFormatting>
  <conditionalFormatting sqref="I99">
    <cfRule type="dataBar" priority="7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{691D195B-DF02-40B1-8596-5323433F824D}</x14:id>
        </ext>
      </extLst>
    </cfRule>
  </conditionalFormatting>
  <conditionalFormatting sqref="I109">
    <cfRule type="dataBar" priority="6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{F8123882-358D-4819-A2B0-0091BA7B3677}</x14:id>
        </ext>
      </extLst>
    </cfRule>
  </conditionalFormatting>
  <conditionalFormatting sqref="I115">
    <cfRule type="dataBar" priority="5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{5C407B87-623C-4810-898C-A75A82351059}</x14:id>
        </ext>
      </extLst>
    </cfRule>
  </conditionalFormatting>
  <conditionalFormatting sqref="I126">
    <cfRule type="dataBar" priority="4">
      <dataBar>
        <cfvo type="num" val="500"/>
        <cfvo type="num" val="5000"/>
        <color rgb="FFFFA3A5"/>
      </dataBar>
      <extLst>
        <ext xmlns:x14="http://schemas.microsoft.com/office/spreadsheetml/2009/9/main" uri="{B025F937-C7B1-47D3-B67F-A62EFF666E3E}">
          <x14:id>{3D0F6E32-3AFC-4DB0-B9D6-94B4F0C2561B}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DADAEF-8699-4E36-A3E9-E00A217889B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H6:I6</xm:sqref>
        </x14:conditionalFormatting>
        <x14:conditionalFormatting xmlns:xm="http://schemas.microsoft.com/office/excel/2006/main">
          <x14:cfRule type="dataBar" id="{400A56FC-3773-4DCC-A0AF-2A3A0B1DFFC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I16</xm:sqref>
        </x14:conditionalFormatting>
        <x14:conditionalFormatting xmlns:xm="http://schemas.microsoft.com/office/excel/2006/main">
          <x14:cfRule type="dataBar" id="{7A5EE86C-DEAD-4342-AE4F-013A05C4203F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04762B72-8B66-4E0A-892A-3686630231E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I32</xm:sqref>
        </x14:conditionalFormatting>
        <x14:conditionalFormatting xmlns:xm="http://schemas.microsoft.com/office/excel/2006/main">
          <x14:cfRule type="dataBar" id="{0715AF0E-6D1A-4A41-8686-0D97716853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I41</xm:sqref>
        </x14:conditionalFormatting>
        <x14:conditionalFormatting xmlns:xm="http://schemas.microsoft.com/office/excel/2006/main">
          <x14:cfRule type="dataBar" id="{C00D6CA6-950C-4FED-9313-355BDD4A296A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I45</xm:sqref>
        </x14:conditionalFormatting>
        <x14:conditionalFormatting xmlns:xm="http://schemas.microsoft.com/office/excel/2006/main">
          <x14:cfRule type="dataBar" id="{176E3882-C0E9-4C40-87A8-60CC77E34EB8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I60</xm:sqref>
        </x14:conditionalFormatting>
        <x14:conditionalFormatting xmlns:xm="http://schemas.microsoft.com/office/excel/2006/main">
          <x14:cfRule type="dataBar" id="{311272D8-B1F2-4D97-AA75-6243D924067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I80</xm:sqref>
        </x14:conditionalFormatting>
        <x14:conditionalFormatting xmlns:xm="http://schemas.microsoft.com/office/excel/2006/main">
          <x14:cfRule type="dataBar" id="{98E03577-E622-4096-AB09-EDA48E791B6C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I86</xm:sqref>
        </x14:conditionalFormatting>
        <x14:conditionalFormatting xmlns:xm="http://schemas.microsoft.com/office/excel/2006/main">
          <x14:cfRule type="dataBar" id="{D8C4FD73-82A8-430D-B3AF-D247E8915BF5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I93</xm:sqref>
        </x14:conditionalFormatting>
        <x14:conditionalFormatting xmlns:xm="http://schemas.microsoft.com/office/excel/2006/main">
          <x14:cfRule type="dataBar" id="{691D195B-DF02-40B1-8596-5323433F824D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I99</xm:sqref>
        </x14:conditionalFormatting>
        <x14:conditionalFormatting xmlns:xm="http://schemas.microsoft.com/office/excel/2006/main">
          <x14:cfRule type="dataBar" id="{F8123882-358D-4819-A2B0-0091BA7B3677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I109</xm:sqref>
        </x14:conditionalFormatting>
        <x14:conditionalFormatting xmlns:xm="http://schemas.microsoft.com/office/excel/2006/main">
          <x14:cfRule type="dataBar" id="{5C407B87-623C-4810-898C-A75A82351059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I115</xm:sqref>
        </x14:conditionalFormatting>
        <x14:conditionalFormatting xmlns:xm="http://schemas.microsoft.com/office/excel/2006/main">
          <x14:cfRule type="dataBar" id="{3D0F6E32-3AFC-4DB0-B9D6-94B4F0C2561B}">
            <x14:dataBar minLength="0" maxLength="100" direction="rightToLeft">
              <x14:cfvo type="num">
                <xm:f>500</xm:f>
              </x14:cfvo>
              <x14:cfvo type="num">
                <xm:f>5000</xm:f>
              </x14:cfvo>
              <x14:negativeFillColor rgb="FFFF0000"/>
              <x14:axisColor rgb="FF000000"/>
            </x14:dataBar>
          </x14:cfRule>
          <xm:sqref>I126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D9B02-B2BC-4468-8D42-C3F9CC939574}">
  <sheetPr codeName="Sheet6"/>
  <dimension ref="B2:H38"/>
  <sheetViews>
    <sheetView workbookViewId="0">
      <selection activeCell="F11" sqref="F11"/>
    </sheetView>
  </sheetViews>
  <sheetFormatPr defaultRowHeight="15" x14ac:dyDescent="0.25"/>
  <cols>
    <col min="1" max="1" width="4.42578125" customWidth="1"/>
    <col min="2" max="2" width="4.140625" customWidth="1"/>
    <col min="3" max="3" width="30.140625" customWidth="1"/>
    <col min="4" max="4" width="15.28515625" style="64" customWidth="1"/>
    <col min="5" max="5" width="15.7109375" style="64" customWidth="1"/>
    <col min="6" max="7" width="15.5703125" style="64" customWidth="1"/>
    <col min="8" max="8" width="14.28515625" customWidth="1"/>
  </cols>
  <sheetData>
    <row r="2" spans="2:3" x14ac:dyDescent="0.25">
      <c r="B2" t="s">
        <v>515</v>
      </c>
    </row>
    <row r="3" spans="2:3" x14ac:dyDescent="0.25">
      <c r="C3" t="s">
        <v>482</v>
      </c>
    </row>
    <row r="4" spans="2:3" x14ac:dyDescent="0.25">
      <c r="C4" t="s">
        <v>483</v>
      </c>
    </row>
    <row r="5" spans="2:3" x14ac:dyDescent="0.25">
      <c r="C5" t="s">
        <v>484</v>
      </c>
    </row>
    <row r="6" spans="2:3" x14ac:dyDescent="0.25">
      <c r="C6" t="s">
        <v>516</v>
      </c>
    </row>
    <row r="7" spans="2:3" x14ac:dyDescent="0.25">
      <c r="C7" t="s">
        <v>638</v>
      </c>
    </row>
    <row r="8" spans="2:3" x14ac:dyDescent="0.25">
      <c r="C8" t="s">
        <v>631</v>
      </c>
    </row>
    <row r="9" spans="2:3" x14ac:dyDescent="0.25">
      <c r="C9" t="s">
        <v>712</v>
      </c>
    </row>
    <row r="10" spans="2:3" x14ac:dyDescent="0.25">
      <c r="C10" t="s">
        <v>639</v>
      </c>
    </row>
    <row r="11" spans="2:3" x14ac:dyDescent="0.25">
      <c r="C11" t="s">
        <v>485</v>
      </c>
    </row>
    <row r="12" spans="2:3" x14ac:dyDescent="0.25">
      <c r="C12" t="s">
        <v>637</v>
      </c>
    </row>
    <row r="14" spans="2:3" x14ac:dyDescent="0.25">
      <c r="B14" t="s">
        <v>518</v>
      </c>
    </row>
    <row r="15" spans="2:3" x14ac:dyDescent="0.25">
      <c r="C15" t="s">
        <v>102</v>
      </c>
    </row>
    <row r="16" spans="2:3" x14ac:dyDescent="0.25">
      <c r="C16" t="s">
        <v>470</v>
      </c>
    </row>
    <row r="17" spans="2:8" x14ac:dyDescent="0.25">
      <c r="C17" t="s">
        <v>301</v>
      </c>
    </row>
    <row r="20" spans="2:8" x14ac:dyDescent="0.25">
      <c r="B20" t="s">
        <v>520</v>
      </c>
      <c r="D20" s="64" t="s">
        <v>449</v>
      </c>
      <c r="E20" s="64" t="s">
        <v>523</v>
      </c>
      <c r="F20" s="64" t="s">
        <v>479</v>
      </c>
      <c r="G20" s="64" t="s">
        <v>544</v>
      </c>
      <c r="H20" s="64" t="s">
        <v>534</v>
      </c>
    </row>
    <row r="21" spans="2:8" x14ac:dyDescent="0.25">
      <c r="C21" t="s">
        <v>521</v>
      </c>
      <c r="D21" s="64">
        <v>10</v>
      </c>
      <c r="E21" s="64">
        <v>50</v>
      </c>
      <c r="F21" s="64">
        <v>10</v>
      </c>
      <c r="G21" s="64">
        <v>50</v>
      </c>
      <c r="H21" s="64">
        <v>10</v>
      </c>
    </row>
    <row r="22" spans="2:8" x14ac:dyDescent="0.25">
      <c r="C22" t="s">
        <v>522</v>
      </c>
      <c r="D22" s="64">
        <v>10</v>
      </c>
      <c r="E22" s="64">
        <v>50</v>
      </c>
      <c r="F22" s="64">
        <v>50</v>
      </c>
      <c r="G22" s="64">
        <v>100</v>
      </c>
      <c r="H22" s="64">
        <v>10</v>
      </c>
    </row>
    <row r="23" spans="2:8" x14ac:dyDescent="0.25">
      <c r="C23" t="s">
        <v>523</v>
      </c>
      <c r="D23" s="64">
        <v>10</v>
      </c>
      <c r="E23" s="64">
        <v>100</v>
      </c>
      <c r="F23" s="64">
        <v>20</v>
      </c>
      <c r="G23" s="64">
        <v>10</v>
      </c>
      <c r="H23" s="64">
        <v>10</v>
      </c>
    </row>
    <row r="24" spans="2:8" x14ac:dyDescent="0.25">
      <c r="C24" t="s">
        <v>533</v>
      </c>
      <c r="D24" s="64">
        <v>10</v>
      </c>
      <c r="E24" s="64">
        <v>50</v>
      </c>
      <c r="F24" s="64">
        <v>0</v>
      </c>
      <c r="G24" s="64">
        <v>10</v>
      </c>
      <c r="H24" s="64">
        <v>10</v>
      </c>
    </row>
    <row r="25" spans="2:8" x14ac:dyDescent="0.25">
      <c r="C25" t="s">
        <v>525</v>
      </c>
      <c r="D25" s="64">
        <v>10</v>
      </c>
      <c r="E25" s="64">
        <v>50</v>
      </c>
      <c r="F25" s="64">
        <v>20</v>
      </c>
      <c r="G25" s="64">
        <v>10</v>
      </c>
      <c r="H25" s="64">
        <v>10</v>
      </c>
    </row>
    <row r="26" spans="2:8" x14ac:dyDescent="0.25">
      <c r="C26" t="s">
        <v>479</v>
      </c>
      <c r="D26" s="64">
        <v>10</v>
      </c>
      <c r="E26" s="64">
        <v>10</v>
      </c>
      <c r="F26" s="64">
        <v>100</v>
      </c>
      <c r="G26" s="64">
        <v>10</v>
      </c>
      <c r="H26" s="64">
        <v>10</v>
      </c>
    </row>
    <row r="27" spans="2:8" x14ac:dyDescent="0.25">
      <c r="C27" t="s">
        <v>524</v>
      </c>
      <c r="D27" s="64">
        <v>10</v>
      </c>
      <c r="E27" s="64">
        <v>10</v>
      </c>
      <c r="F27" s="64">
        <v>0</v>
      </c>
      <c r="G27" s="64">
        <v>10</v>
      </c>
      <c r="H27" s="64">
        <v>10</v>
      </c>
    </row>
    <row r="28" spans="2:8" x14ac:dyDescent="0.25">
      <c r="C28" t="s">
        <v>526</v>
      </c>
      <c r="D28" s="64">
        <v>10</v>
      </c>
      <c r="E28" s="64">
        <v>10</v>
      </c>
      <c r="F28" s="64">
        <v>10</v>
      </c>
      <c r="G28" s="64">
        <v>50</v>
      </c>
      <c r="H28" s="64">
        <v>10</v>
      </c>
    </row>
    <row r="29" spans="2:8" x14ac:dyDescent="0.25">
      <c r="C29" t="s">
        <v>528</v>
      </c>
      <c r="D29" s="64">
        <v>10</v>
      </c>
      <c r="E29" s="64">
        <v>10</v>
      </c>
      <c r="F29" s="64">
        <v>0</v>
      </c>
      <c r="G29" s="64">
        <v>50</v>
      </c>
      <c r="H29" s="64">
        <v>10</v>
      </c>
    </row>
    <row r="30" spans="2:8" x14ac:dyDescent="0.25">
      <c r="C30" t="s">
        <v>529</v>
      </c>
      <c r="D30" s="64">
        <v>10</v>
      </c>
      <c r="E30" s="64">
        <v>10</v>
      </c>
      <c r="F30" s="64">
        <v>0</v>
      </c>
      <c r="G30" s="64">
        <v>50</v>
      </c>
      <c r="H30" s="64">
        <v>10</v>
      </c>
    </row>
    <row r="31" spans="2:8" x14ac:dyDescent="0.25">
      <c r="C31" t="s">
        <v>545</v>
      </c>
      <c r="D31" s="64">
        <v>10</v>
      </c>
      <c r="E31" s="64">
        <v>0</v>
      </c>
      <c r="F31" s="64">
        <v>0</v>
      </c>
      <c r="G31" s="64">
        <v>100</v>
      </c>
      <c r="H31" s="64">
        <v>10</v>
      </c>
    </row>
    <row r="32" spans="2:8" x14ac:dyDescent="0.25">
      <c r="C32" t="s">
        <v>543</v>
      </c>
      <c r="D32" s="64">
        <v>10</v>
      </c>
      <c r="E32" s="64">
        <v>0</v>
      </c>
      <c r="F32" s="64">
        <v>0</v>
      </c>
      <c r="G32" s="64">
        <v>50</v>
      </c>
      <c r="H32" s="64">
        <v>10</v>
      </c>
    </row>
    <row r="33" spans="2:8" x14ac:dyDescent="0.25">
      <c r="C33" t="s">
        <v>527</v>
      </c>
      <c r="D33" s="64">
        <v>10</v>
      </c>
      <c r="E33" s="64">
        <v>0</v>
      </c>
      <c r="F33" s="64">
        <v>0</v>
      </c>
      <c r="G33" s="64">
        <v>0</v>
      </c>
      <c r="H33" s="64">
        <v>50</v>
      </c>
    </row>
    <row r="34" spans="2:8" x14ac:dyDescent="0.25">
      <c r="C34" t="s">
        <v>530</v>
      </c>
      <c r="D34" s="64">
        <v>10</v>
      </c>
      <c r="E34" s="64">
        <v>0</v>
      </c>
      <c r="F34" s="64">
        <v>0</v>
      </c>
      <c r="G34" s="64">
        <v>0</v>
      </c>
      <c r="H34" s="64">
        <v>100</v>
      </c>
    </row>
    <row r="35" spans="2:8" x14ac:dyDescent="0.25">
      <c r="D35" s="86">
        <f>SUM(D21:D34)</f>
        <v>140</v>
      </c>
      <c r="E35" s="86">
        <f>SUM(E21:E34)</f>
        <v>350</v>
      </c>
      <c r="F35" s="86">
        <f>SUM(F21:F34)</f>
        <v>210</v>
      </c>
      <c r="G35" s="86">
        <f>SUM(G21:G34)</f>
        <v>500</v>
      </c>
      <c r="H35" s="86">
        <f>SUM(H21:H34)</f>
        <v>270</v>
      </c>
    </row>
    <row r="37" spans="2:8" x14ac:dyDescent="0.25">
      <c r="B37" t="s">
        <v>629</v>
      </c>
    </row>
    <row r="38" spans="2:8" x14ac:dyDescent="0.25">
      <c r="C38" t="s">
        <v>630</v>
      </c>
      <c r="D38" s="97">
        <v>0.1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Assesment</vt:lpstr>
      <vt:lpstr>Survey</vt:lpstr>
      <vt:lpstr>Customization</vt:lpstr>
      <vt:lpstr>Calculations</vt:lpstr>
      <vt:lpstr>Parameters</vt:lpstr>
      <vt:lpstr>AssesmentTargets</vt:lpstr>
      <vt:lpstr>ItemState</vt:lpstr>
      <vt:lpstr>SurveyUserData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Pan</dc:creator>
  <cp:lastModifiedBy>Peter Pan</cp:lastModifiedBy>
  <dcterms:created xsi:type="dcterms:W3CDTF">2024-01-30T02:33:49Z</dcterms:created>
  <dcterms:modified xsi:type="dcterms:W3CDTF">2024-02-06T14:30:48Z</dcterms:modified>
</cp:coreProperties>
</file>