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Private\Sailing\"/>
    </mc:Choice>
  </mc:AlternateContent>
  <xr:revisionPtr revIDLastSave="0" documentId="13_ncr:1_{8B46D352-5320-4E09-811A-9EE040CB81E5}" xr6:coauthVersionLast="47" xr6:coauthVersionMax="47" xr10:uidLastSave="{00000000-0000-0000-0000-000000000000}"/>
  <bookViews>
    <workbookView xWindow="3735" yWindow="2640" windowWidth="27420" windowHeight="28170" xr2:uid="{A28DC856-220D-425D-BA35-72601C988A0D}"/>
  </bookViews>
  <sheets>
    <sheet name="Assesment" sheetId="6" r:id="rId1"/>
    <sheet name="Groups" sheetId="4" r:id="rId2"/>
    <sheet name="Battery" sheetId="1" r:id="rId3"/>
    <sheet name="Usage" sheetId="2" r:id="rId4"/>
    <sheet name="Generation" sheetId="3" r:id="rId5"/>
    <sheet name="Parameters" sheetId="7" r:id="rId6"/>
    <sheet name="Back" sheetId="8" r:id="rId7"/>
  </sheets>
  <functionGroups builtInGroupCount="19"/>
  <definedNames>
    <definedName name="AssesmentTargets">Parameters!$C$14:$C$16</definedName>
    <definedName name="ItemState">Parameters!$C$3:$C$11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71" i="6" l="1"/>
  <c r="M261" i="6"/>
  <c r="I424" i="4"/>
  <c r="G424" i="4"/>
  <c r="E424" i="4"/>
  <c r="M182" i="6"/>
  <c r="M183" i="6"/>
  <c r="N85" i="6"/>
  <c r="N84" i="6"/>
  <c r="M84" i="6"/>
  <c r="M85" i="6"/>
  <c r="M171" i="6"/>
  <c r="M177" i="6"/>
  <c r="M187" i="6"/>
  <c r="M259" i="6"/>
  <c r="M188" i="6"/>
  <c r="R67" i="6"/>
  <c r="H255" i="8"/>
  <c r="G255" i="8"/>
  <c r="F255" i="8"/>
  <c r="M253" i="8"/>
  <c r="M252" i="8"/>
  <c r="M251" i="8"/>
  <c r="M250" i="8"/>
  <c r="M249" i="8"/>
  <c r="M248" i="8"/>
  <c r="M247" i="8"/>
  <c r="M246" i="8"/>
  <c r="M245" i="8"/>
  <c r="M244" i="8"/>
  <c r="M243" i="8"/>
  <c r="M242" i="8"/>
  <c r="M241" i="8"/>
  <c r="M240" i="8"/>
  <c r="H236" i="8"/>
  <c r="G236" i="8"/>
  <c r="F236" i="8"/>
  <c r="M234" i="8"/>
  <c r="M232" i="8"/>
  <c r="M231" i="8"/>
  <c r="M230" i="8"/>
  <c r="M229" i="8"/>
  <c r="M228" i="8"/>
  <c r="M227" i="8"/>
  <c r="M226" i="8"/>
  <c r="M224" i="8"/>
  <c r="M223" i="8"/>
  <c r="M222" i="8"/>
  <c r="M218" i="8"/>
  <c r="M217" i="8"/>
  <c r="M216" i="8"/>
  <c r="M213" i="8"/>
  <c r="M212" i="8"/>
  <c r="M211" i="8"/>
  <c r="M210" i="8"/>
  <c r="M209" i="8"/>
  <c r="M208" i="8"/>
  <c r="M207" i="8"/>
  <c r="M206" i="8"/>
  <c r="M205" i="8"/>
  <c r="M204" i="8"/>
  <c r="M203" i="8"/>
  <c r="M202" i="8"/>
  <c r="M199" i="8"/>
  <c r="M198" i="8"/>
  <c r="M197" i="8"/>
  <c r="M196" i="8"/>
  <c r="M194" i="8"/>
  <c r="M193" i="8"/>
  <c r="M192" i="8"/>
  <c r="M191" i="8"/>
  <c r="M190" i="8"/>
  <c r="M189" i="8"/>
  <c r="M188" i="8"/>
  <c r="M186" i="8"/>
  <c r="M184" i="8"/>
  <c r="M183" i="8"/>
  <c r="M182" i="8"/>
  <c r="M178" i="8"/>
  <c r="M177" i="8"/>
  <c r="M176" i="8"/>
  <c r="M175" i="8"/>
  <c r="M173" i="8"/>
  <c r="M172" i="8"/>
  <c r="M171" i="8"/>
  <c r="M170" i="8"/>
  <c r="M169" i="8"/>
  <c r="M168" i="8"/>
  <c r="M167" i="8"/>
  <c r="M165" i="8"/>
  <c r="M164" i="8"/>
  <c r="M163" i="8"/>
  <c r="M161" i="8"/>
  <c r="M160" i="8"/>
  <c r="M159" i="8"/>
  <c r="M158" i="8"/>
  <c r="M156" i="8"/>
  <c r="M155" i="8"/>
  <c r="M153" i="8"/>
  <c r="M152" i="8"/>
  <c r="M151" i="8"/>
  <c r="M150" i="8"/>
  <c r="M149" i="8"/>
  <c r="M147" i="8"/>
  <c r="M146" i="8"/>
  <c r="M145" i="8"/>
  <c r="M144" i="8"/>
  <c r="M142" i="8"/>
  <c r="M140" i="8"/>
  <c r="M139" i="8"/>
  <c r="M138" i="8"/>
  <c r="M137" i="8"/>
  <c r="M136" i="8"/>
  <c r="M135" i="8"/>
  <c r="M134" i="8"/>
  <c r="M133" i="8"/>
  <c r="M132" i="8"/>
  <c r="M130" i="8"/>
  <c r="M129" i="8"/>
  <c r="M128" i="8"/>
  <c r="M127" i="8"/>
  <c r="M123" i="8"/>
  <c r="M122" i="8"/>
  <c r="M121" i="8"/>
  <c r="M120" i="8"/>
  <c r="M119" i="8"/>
  <c r="M118" i="8"/>
  <c r="M117" i="8"/>
  <c r="M116" i="8"/>
  <c r="M115" i="8"/>
  <c r="M114" i="8"/>
  <c r="M113" i="8"/>
  <c r="M112" i="8"/>
  <c r="M110" i="8"/>
  <c r="M109" i="8"/>
  <c r="M108" i="8"/>
  <c r="M107" i="8"/>
  <c r="M106" i="8"/>
  <c r="M105" i="8"/>
  <c r="M104" i="8"/>
  <c r="M103" i="8"/>
  <c r="M101" i="8"/>
  <c r="M100" i="8"/>
  <c r="M99" i="8"/>
  <c r="M98" i="8"/>
  <c r="M96" i="8"/>
  <c r="M95" i="8"/>
  <c r="M94" i="8"/>
  <c r="M93" i="8"/>
  <c r="M92" i="8"/>
  <c r="M91" i="8"/>
  <c r="M90" i="8"/>
  <c r="M89" i="8"/>
  <c r="N75" i="8"/>
  <c r="M75" i="8"/>
  <c r="N74" i="8"/>
  <c r="M74" i="8"/>
  <c r="N73" i="8"/>
  <c r="M73" i="8"/>
  <c r="N72" i="8"/>
  <c r="M72" i="8"/>
  <c r="N71" i="8"/>
  <c r="M71" i="8"/>
  <c r="N70" i="8"/>
  <c r="M70" i="8"/>
  <c r="M68" i="8"/>
  <c r="M67" i="8"/>
  <c r="M66" i="8"/>
  <c r="M65" i="8"/>
  <c r="M63" i="8"/>
  <c r="M59" i="8"/>
  <c r="M55" i="8"/>
  <c r="M54" i="8"/>
  <c r="M53" i="8"/>
  <c r="M52" i="8"/>
  <c r="M51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2" i="8"/>
  <c r="M31" i="8"/>
  <c r="M30" i="8"/>
  <c r="M29" i="8"/>
  <c r="M26" i="8"/>
  <c r="M25" i="8"/>
  <c r="M24" i="8"/>
  <c r="M23" i="8"/>
  <c r="M20" i="8"/>
  <c r="M19" i="8"/>
  <c r="M18" i="8"/>
  <c r="M17" i="8"/>
  <c r="M16" i="8"/>
  <c r="M15" i="8"/>
  <c r="M14" i="8"/>
  <c r="M11" i="8"/>
  <c r="M10" i="8"/>
  <c r="M9" i="8"/>
  <c r="M8" i="8"/>
  <c r="M6" i="8"/>
  <c r="M5" i="8"/>
  <c r="M4" i="8"/>
  <c r="M2" i="8"/>
  <c r="F267" i="6"/>
  <c r="M265" i="6"/>
  <c r="I322" i="4"/>
  <c r="G322" i="4"/>
  <c r="E322" i="4"/>
  <c r="I392" i="4"/>
  <c r="G392" i="4"/>
  <c r="E392" i="4"/>
  <c r="I312" i="4"/>
  <c r="I301" i="4"/>
  <c r="G301" i="4"/>
  <c r="G312" i="4"/>
  <c r="E312" i="4"/>
  <c r="M179" i="6"/>
  <c r="G267" i="6"/>
  <c r="F60" i="6"/>
  <c r="Q182" i="6"/>
  <c r="Q261" i="6"/>
  <c r="Q183" i="6"/>
  <c r="Q249" i="8"/>
  <c r="Q247" i="8"/>
  <c r="Q144" i="8"/>
  <c r="Q207" i="8"/>
  <c r="Q142" i="8"/>
  <c r="Q112" i="8"/>
  <c r="Q140" i="8"/>
  <c r="Q170" i="8"/>
  <c r="Q242" i="8"/>
  <c r="Q93" i="8"/>
  <c r="Q89" i="8"/>
  <c r="Q171" i="8"/>
  <c r="Q183" i="8"/>
  <c r="Q223" i="8"/>
  <c r="Q234" i="8"/>
  <c r="Q175" i="8"/>
  <c r="Q122" i="8"/>
  <c r="Q184" i="8"/>
  <c r="Q116" i="6"/>
  <c r="Q251" i="8"/>
  <c r="Q165" i="8"/>
  <c r="Q153" i="8"/>
  <c r="Q171" i="6"/>
  <c r="Q168" i="8"/>
  <c r="Q186" i="8"/>
  <c r="Q92" i="8"/>
  <c r="Q177" i="6"/>
  <c r="Q163" i="8"/>
  <c r="Q224" i="8"/>
  <c r="Q213" i="8"/>
  <c r="Q173" i="8"/>
  <c r="Q187" i="6"/>
  <c r="Q91" i="8"/>
  <c r="Q121" i="8"/>
  <c r="Q194" i="8"/>
  <c r="Q205" i="8"/>
  <c r="Q95" i="8"/>
  <c r="Q150" i="8"/>
  <c r="Q193" i="8"/>
  <c r="Q133" i="8"/>
  <c r="Q189" i="8"/>
  <c r="Q116" i="8"/>
  <c r="Q104" i="8"/>
  <c r="Q259" i="6"/>
  <c r="Q105" i="8"/>
  <c r="Q199" i="8"/>
  <c r="Q103" i="8"/>
  <c r="Q250" i="8"/>
  <c r="Q188" i="6"/>
  <c r="Q177" i="8"/>
  <c r="Q244" i="8"/>
  <c r="Q179" i="6"/>
  <c r="Q231" i="8"/>
  <c r="Q103" i="6"/>
  <c r="Q151" i="8"/>
  <c r="Q253" i="8"/>
  <c r="Q134" i="8"/>
  <c r="Q132" i="8"/>
  <c r="Q118" i="8"/>
  <c r="Q127" i="8"/>
  <c r="Q209" i="8"/>
  <c r="Q145" i="8"/>
  <c r="Q240" i="8"/>
  <c r="Q230" i="8"/>
  <c r="Q113" i="8"/>
  <c r="Q114" i="8"/>
  <c r="Q241" i="8"/>
  <c r="Q160" i="8"/>
  <c r="Q206" i="8"/>
  <c r="Q226" i="8"/>
  <c r="Q227" i="8"/>
  <c r="Q107" i="6"/>
  <c r="Q96" i="8"/>
  <c r="Q152" i="8"/>
  <c r="Q218" i="8"/>
  <c r="Q265" i="6"/>
  <c r="Q98" i="8"/>
  <c r="Q208" i="8"/>
  <c r="Q99" i="8"/>
  <c r="Q228" i="8"/>
  <c r="Q130" i="8"/>
  <c r="Q100" i="8"/>
  <c r="Q169" i="8"/>
  <c r="Q147" i="8"/>
  <c r="Q217" i="8"/>
  <c r="Q204" i="8"/>
  <c r="Q106" i="8"/>
  <c r="Q110" i="8"/>
  <c r="Q167" i="8"/>
  <c r="Q212" i="8"/>
  <c r="Q156" i="8"/>
  <c r="Q117" i="8"/>
  <c r="Q94" i="8"/>
  <c r="Q245" i="8"/>
  <c r="Q90" i="8"/>
  <c r="Q129" i="8"/>
  <c r="Q188" i="8"/>
  <c r="Q164" i="8"/>
  <c r="Q211" i="8"/>
  <c r="Q191" i="8"/>
  <c r="Q178" i="8"/>
  <c r="Q176" i="8"/>
  <c r="Q119" i="8"/>
  <c r="Q161" i="8"/>
  <c r="Q146" i="8"/>
  <c r="Q139" i="8"/>
  <c r="Q107" i="8"/>
  <c r="Q198" i="8"/>
  <c r="Q210" i="8"/>
  <c r="Q182" i="8"/>
  <c r="Q138" i="8"/>
  <c r="Q123" i="8"/>
  <c r="Q159" i="8"/>
  <c r="Q111" i="8"/>
  <c r="Q128" i="8"/>
  <c r="Q229" i="8"/>
  <c r="Q149" i="8"/>
  <c r="Q136" i="8"/>
  <c r="Q232" i="8"/>
  <c r="Q158" i="8"/>
  <c r="Q222" i="8"/>
  <c r="Q248" i="8"/>
  <c r="Q246" i="8"/>
  <c r="Q108" i="8"/>
  <c r="Q243" i="8"/>
  <c r="Q115" i="8"/>
  <c r="Q120" i="8"/>
  <c r="Q216" i="8"/>
  <c r="Q196" i="8"/>
  <c r="Q202" i="8"/>
  <c r="Q137" i="8"/>
  <c r="Q172" i="8"/>
  <c r="Q101" i="8"/>
  <c r="Q109" i="8"/>
  <c r="Q203" i="8"/>
  <c r="Q197" i="8"/>
  <c r="Q135" i="8"/>
  <c r="Q192" i="8"/>
  <c r="Q155" i="8"/>
  <c r="Q190" i="8"/>
  <c r="Q252" i="8"/>
  <c r="Q255" i="8" l="1"/>
  <c r="N67" i="8" s="1"/>
  <c r="Q236" i="8"/>
  <c r="N66" i="8" s="1"/>
  <c r="M76" i="6"/>
  <c r="M75" i="6"/>
  <c r="M74" i="6"/>
  <c r="H249" i="6"/>
  <c r="G249" i="6"/>
  <c r="F249" i="6"/>
  <c r="H267" i="6"/>
  <c r="F34" i="7"/>
  <c r="H34" i="7"/>
  <c r="G34" i="7"/>
  <c r="E34" i="7"/>
  <c r="D34" i="7"/>
  <c r="N79" i="6"/>
  <c r="N78" i="6"/>
  <c r="N81" i="6"/>
  <c r="M73" i="6"/>
  <c r="M71" i="6"/>
  <c r="N82" i="6"/>
  <c r="N83" i="6"/>
  <c r="N80" i="6"/>
  <c r="M67" i="6"/>
  <c r="M79" i="6"/>
  <c r="M80" i="6"/>
  <c r="M81" i="6"/>
  <c r="M83" i="6"/>
  <c r="M82" i="6"/>
  <c r="M78" i="6"/>
  <c r="M98" i="6"/>
  <c r="M243" i="6"/>
  <c r="M244" i="6"/>
  <c r="M245" i="6"/>
  <c r="M246" i="6"/>
  <c r="M247" i="6"/>
  <c r="M253" i="6"/>
  <c r="M254" i="6"/>
  <c r="M255" i="6"/>
  <c r="M256" i="6"/>
  <c r="M257" i="6"/>
  <c r="M258" i="6"/>
  <c r="M260" i="6"/>
  <c r="M262" i="6"/>
  <c r="M263" i="6"/>
  <c r="M264" i="6"/>
  <c r="M202" i="6"/>
  <c r="M203" i="6"/>
  <c r="M204" i="6"/>
  <c r="M205" i="6"/>
  <c r="M206" i="6"/>
  <c r="M207" i="6"/>
  <c r="M208" i="6"/>
  <c r="M210" i="6"/>
  <c r="M211" i="6"/>
  <c r="M212" i="6"/>
  <c r="M213" i="6"/>
  <c r="M216" i="6"/>
  <c r="M217" i="6"/>
  <c r="M218" i="6"/>
  <c r="M219" i="6"/>
  <c r="M220" i="6"/>
  <c r="M221" i="6"/>
  <c r="M222" i="6"/>
  <c r="M223" i="6"/>
  <c r="M224" i="6"/>
  <c r="M225" i="6"/>
  <c r="M226" i="6"/>
  <c r="M227" i="6"/>
  <c r="M230" i="6"/>
  <c r="M231" i="6"/>
  <c r="M232" i="6"/>
  <c r="M236" i="6"/>
  <c r="M237" i="6"/>
  <c r="M238" i="6"/>
  <c r="M240" i="6"/>
  <c r="M241" i="6"/>
  <c r="M242" i="6"/>
  <c r="M153" i="6"/>
  <c r="M154" i="6"/>
  <c r="M155" i="6"/>
  <c r="M156" i="6"/>
  <c r="M158" i="6"/>
  <c r="M159" i="6"/>
  <c r="M160" i="6"/>
  <c r="M161" i="6"/>
  <c r="M162" i="6"/>
  <c r="M164" i="6"/>
  <c r="M165" i="6"/>
  <c r="M167" i="6"/>
  <c r="M168" i="6"/>
  <c r="M169" i="6"/>
  <c r="M170" i="6"/>
  <c r="M173" i="6"/>
  <c r="M174" i="6"/>
  <c r="M175" i="6"/>
  <c r="M178" i="6"/>
  <c r="M180" i="6"/>
  <c r="M181" i="6"/>
  <c r="M186" i="6"/>
  <c r="M184" i="6"/>
  <c r="M190" i="6"/>
  <c r="M191" i="6"/>
  <c r="M192" i="6"/>
  <c r="M193" i="6"/>
  <c r="M197" i="6"/>
  <c r="M198" i="6"/>
  <c r="M199" i="6"/>
  <c r="M200" i="6"/>
  <c r="M112" i="6"/>
  <c r="M113" i="6"/>
  <c r="M114" i="6"/>
  <c r="M115" i="6"/>
  <c r="M116" i="6"/>
  <c r="M117" i="6"/>
  <c r="M118" i="6"/>
  <c r="M119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M136" i="6"/>
  <c r="M137" i="6"/>
  <c r="M138" i="6"/>
  <c r="M139" i="6"/>
  <c r="M141" i="6"/>
  <c r="M142" i="6"/>
  <c r="M143" i="6"/>
  <c r="M144" i="6"/>
  <c r="M145" i="6"/>
  <c r="M146" i="6"/>
  <c r="M147" i="6"/>
  <c r="M148" i="6"/>
  <c r="M149" i="6"/>
  <c r="M151" i="6"/>
  <c r="M110" i="6"/>
  <c r="M109" i="6"/>
  <c r="M108" i="6"/>
  <c r="M107" i="6"/>
  <c r="M99" i="6"/>
  <c r="M100" i="6"/>
  <c r="M101" i="6"/>
  <c r="M102" i="6"/>
  <c r="M103" i="6"/>
  <c r="M104" i="6"/>
  <c r="M105" i="6"/>
  <c r="I166" i="4"/>
  <c r="G166" i="4"/>
  <c r="E166" i="4"/>
  <c r="I158" i="4"/>
  <c r="G158" i="4"/>
  <c r="E158" i="4"/>
  <c r="E301" i="4"/>
  <c r="I410" i="4"/>
  <c r="G410" i="4"/>
  <c r="E410" i="4"/>
  <c r="I172" i="4"/>
  <c r="G172" i="4"/>
  <c r="E172" i="4"/>
  <c r="I21" i="4"/>
  <c r="G445" i="4"/>
  <c r="I445" i="4" s="1"/>
  <c r="I69" i="4"/>
  <c r="G69" i="4"/>
  <c r="E69" i="4"/>
  <c r="E58" i="4"/>
  <c r="G58" i="4"/>
  <c r="I43" i="4"/>
  <c r="G43" i="4"/>
  <c r="E43" i="4"/>
  <c r="I76" i="4"/>
  <c r="G76" i="4"/>
  <c r="I71" i="4" s="1"/>
  <c r="E76" i="4"/>
  <c r="I39" i="4"/>
  <c r="G39" i="4"/>
  <c r="E39" i="4"/>
  <c r="G122" i="4"/>
  <c r="I122" i="4"/>
  <c r="E122" i="4"/>
  <c r="E14" i="4"/>
  <c r="E21" i="4"/>
  <c r="E445" i="4"/>
  <c r="G436" i="4"/>
  <c r="I436" i="4" s="1"/>
  <c r="E436" i="4"/>
  <c r="I431" i="4"/>
  <c r="G431" i="4"/>
  <c r="E431" i="4"/>
  <c r="I418" i="4"/>
  <c r="G418" i="4"/>
  <c r="E418" i="4"/>
  <c r="I387" i="4"/>
  <c r="G387" i="4"/>
  <c r="E387" i="4"/>
  <c r="I372" i="4"/>
  <c r="G372" i="4"/>
  <c r="E372" i="4"/>
  <c r="I347" i="4"/>
  <c r="G347" i="4"/>
  <c r="E347" i="4"/>
  <c r="E287" i="4"/>
  <c r="G287" i="4"/>
  <c r="I287" i="4" s="1"/>
  <c r="I280" i="4"/>
  <c r="G280" i="4"/>
  <c r="E280" i="4"/>
  <c r="I214" i="4"/>
  <c r="G214" i="4"/>
  <c r="E214" i="4"/>
  <c r="I28" i="4"/>
  <c r="G28" i="4"/>
  <c r="I23" i="4" s="1"/>
  <c r="E28" i="4"/>
  <c r="I149" i="4"/>
  <c r="G149" i="4"/>
  <c r="E149" i="4"/>
  <c r="I141" i="4"/>
  <c r="G141" i="4"/>
  <c r="E141" i="4"/>
  <c r="E130" i="4"/>
  <c r="I130" i="4"/>
  <c r="G130" i="4"/>
  <c r="I107" i="4"/>
  <c r="G107" i="4"/>
  <c r="E107" i="4"/>
  <c r="I113" i="4"/>
  <c r="G113" i="4"/>
  <c r="E113" i="4"/>
  <c r="I97" i="4"/>
  <c r="G97" i="4"/>
  <c r="E97" i="4"/>
  <c r="G91" i="4"/>
  <c r="I91" i="4" s="1"/>
  <c r="E91" i="4"/>
  <c r="I84" i="4"/>
  <c r="G84" i="4"/>
  <c r="E84" i="4"/>
  <c r="G21" i="4"/>
  <c r="I14" i="4"/>
  <c r="G14" i="4"/>
  <c r="U22" i="2"/>
  <c r="T22" i="2"/>
  <c r="S22" i="2"/>
  <c r="U45" i="2"/>
  <c r="T45" i="2"/>
  <c r="S45" i="2"/>
  <c r="T57" i="2"/>
  <c r="S57" i="2"/>
  <c r="U57" i="2"/>
  <c r="G30" i="2"/>
  <c r="Q30" i="2" s="1"/>
  <c r="N11" i="3"/>
  <c r="K11" i="3"/>
  <c r="M11" i="3" s="1"/>
  <c r="N7" i="3"/>
  <c r="K9" i="3"/>
  <c r="M9" i="3" s="1"/>
  <c r="K15" i="3"/>
  <c r="K13" i="3"/>
  <c r="I19" i="3"/>
  <c r="H19" i="3"/>
  <c r="G19" i="3"/>
  <c r="F19" i="3"/>
  <c r="I7" i="3"/>
  <c r="H7" i="3"/>
  <c r="G7" i="3"/>
  <c r="F7" i="3"/>
  <c r="N13" i="3"/>
  <c r="N9" i="3"/>
  <c r="Q18" i="2"/>
  <c r="Q19" i="2"/>
  <c r="Q70" i="2"/>
  <c r="Q71" i="2"/>
  <c r="Q72" i="2"/>
  <c r="G66" i="2"/>
  <c r="Q66" i="2" s="1"/>
  <c r="G67" i="2"/>
  <c r="Q67" i="2" s="1"/>
  <c r="G65" i="2"/>
  <c r="Q65" i="2" s="1"/>
  <c r="N67" i="2"/>
  <c r="G62" i="2"/>
  <c r="N62" i="2" s="1"/>
  <c r="N66" i="2"/>
  <c r="G61" i="2"/>
  <c r="N61" i="2" s="1"/>
  <c r="G60" i="2"/>
  <c r="N60" i="2" s="1"/>
  <c r="G40" i="2"/>
  <c r="N40" i="2" s="1"/>
  <c r="G45" i="2"/>
  <c r="M45" i="2" s="1"/>
  <c r="L7" i="2"/>
  <c r="M7" i="2"/>
  <c r="N7" i="2"/>
  <c r="L70" i="2"/>
  <c r="M70" i="2"/>
  <c r="N70" i="2"/>
  <c r="L71" i="2"/>
  <c r="M71" i="2"/>
  <c r="N71" i="2"/>
  <c r="L72" i="2"/>
  <c r="M72" i="2"/>
  <c r="N72" i="2"/>
  <c r="E71" i="2"/>
  <c r="E72" i="2"/>
  <c r="E70" i="2"/>
  <c r="G15" i="2"/>
  <c r="M15" i="2" s="1"/>
  <c r="G16" i="2"/>
  <c r="N16" i="2" s="1"/>
  <c r="G17" i="2"/>
  <c r="L17" i="2" s="1"/>
  <c r="G21" i="2"/>
  <c r="N21" i="2" s="1"/>
  <c r="G22" i="2"/>
  <c r="L22" i="2" s="1"/>
  <c r="G26" i="2"/>
  <c r="L26" i="2" s="1"/>
  <c r="G34" i="2"/>
  <c r="N34" i="2" s="1"/>
  <c r="G35" i="2"/>
  <c r="L35" i="2" s="1"/>
  <c r="G36" i="2"/>
  <c r="M36" i="2" s="1"/>
  <c r="G37" i="2"/>
  <c r="N37" i="2" s="1"/>
  <c r="G38" i="2"/>
  <c r="N38" i="2" s="1"/>
  <c r="G39" i="2"/>
  <c r="L39" i="2" s="1"/>
  <c r="G41" i="2"/>
  <c r="L41" i="2" s="1"/>
  <c r="G42" i="2"/>
  <c r="M42" i="2" s="1"/>
  <c r="G43" i="2"/>
  <c r="N43" i="2" s="1"/>
  <c r="G44" i="2"/>
  <c r="L44" i="2" s="1"/>
  <c r="G49" i="2"/>
  <c r="L49" i="2" s="1"/>
  <c r="G50" i="2"/>
  <c r="M50" i="2" s="1"/>
  <c r="G51" i="2"/>
  <c r="L51" i="2" s="1"/>
  <c r="G52" i="2"/>
  <c r="M52" i="2" s="1"/>
  <c r="G53" i="2"/>
  <c r="L53" i="2" s="1"/>
  <c r="G54" i="2"/>
  <c r="L54" i="2" s="1"/>
  <c r="G55" i="2"/>
  <c r="M55" i="2" s="1"/>
  <c r="G56" i="2"/>
  <c r="N56" i="2" s="1"/>
  <c r="G57" i="2"/>
  <c r="L57" i="2" s="1"/>
  <c r="G48" i="2"/>
  <c r="M48" i="2" s="1"/>
  <c r="G33" i="2"/>
  <c r="L33" i="2" s="1"/>
  <c r="G29" i="2"/>
  <c r="L29" i="2" s="1"/>
  <c r="G25" i="2"/>
  <c r="L25" i="2" s="1"/>
  <c r="G20" i="2"/>
  <c r="N20" i="2" s="1"/>
  <c r="G14" i="2"/>
  <c r="M14" i="2" s="1"/>
  <c r="G5" i="2"/>
  <c r="L5" i="2" s="1"/>
  <c r="G6" i="2"/>
  <c r="N6" i="2" s="1"/>
  <c r="G7" i="2"/>
  <c r="Q7" i="2" s="1"/>
  <c r="G8" i="2"/>
  <c r="N8" i="2" s="1"/>
  <c r="G9" i="2"/>
  <c r="L9" i="2" s="1"/>
  <c r="G10" i="2"/>
  <c r="M10" i="2" s="1"/>
  <c r="G11" i="2"/>
  <c r="L11" i="2" s="1"/>
  <c r="G4" i="2"/>
  <c r="L4" i="2" s="1"/>
  <c r="J4" i="1"/>
  <c r="K4" i="1" s="1"/>
  <c r="J9" i="1"/>
  <c r="K9" i="1" s="1"/>
  <c r="J11" i="1"/>
  <c r="K11" i="1" s="1"/>
  <c r="J8" i="1"/>
  <c r="K8" i="1" s="1"/>
  <c r="J7" i="1"/>
  <c r="J6" i="1"/>
  <c r="J3" i="1"/>
  <c r="K3" i="1" s="1"/>
  <c r="Q246" i="6"/>
  <c r="Q238" i="6"/>
  <c r="Q253" i="6"/>
  <c r="Q219" i="6"/>
  <c r="Q202" i="6"/>
  <c r="Q159" i="6"/>
  <c r="Q216" i="6"/>
  <c r="Q113" i="6"/>
  <c r="Q260" i="6"/>
  <c r="Q149" i="6"/>
  <c r="Q245" i="6"/>
  <c r="Q142" i="6"/>
  <c r="Q98" i="6"/>
  <c r="Q256" i="6"/>
  <c r="Q192" i="6"/>
  <c r="Q124" i="6"/>
  <c r="Q220" i="6"/>
  <c r="Q102" i="6"/>
  <c r="Q145" i="6"/>
  <c r="Q168" i="6"/>
  <c r="Q263" i="6"/>
  <c r="Q230" i="6"/>
  <c r="Q164" i="6"/>
  <c r="Q126" i="6"/>
  <c r="Q123" i="6"/>
  <c r="Q143" i="6"/>
  <c r="Q241" i="6"/>
  <c r="Q119" i="6"/>
  <c r="Q128" i="6"/>
  <c r="Q153" i="6"/>
  <c r="Q217" i="6"/>
  <c r="Q247" i="6"/>
  <c r="Q244" i="6"/>
  <c r="Q117" i="6"/>
  <c r="F63" i="6"/>
  <c r="Q225" i="6"/>
  <c r="Q218" i="6"/>
  <c r="Q139" i="6"/>
  <c r="Q181" i="6"/>
  <c r="Q255" i="6"/>
  <c r="Q222" i="6"/>
  <c r="Q231" i="6"/>
  <c r="Q207" i="6"/>
  <c r="Q173" i="6"/>
  <c r="Q115" i="6"/>
  <c r="Q109" i="6"/>
  <c r="N54" i="8"/>
  <c r="Q154" i="6"/>
  <c r="Q138" i="6"/>
  <c r="N52" i="8"/>
  <c r="Q204" i="6"/>
  <c r="N51" i="8"/>
  <c r="Q193" i="6"/>
  <c r="Q151" i="6"/>
  <c r="Q232" i="6"/>
  <c r="Q155" i="6"/>
  <c r="Q174" i="6"/>
  <c r="Q136" i="6"/>
  <c r="Q148" i="6"/>
  <c r="Q165" i="6"/>
  <c r="Q105" i="6"/>
  <c r="Q167" i="6"/>
  <c r="Q200" i="6"/>
  <c r="Q100" i="6"/>
  <c r="Q121" i="6"/>
  <c r="Q129" i="6"/>
  <c r="Q203" i="6"/>
  <c r="Q199" i="6"/>
  <c r="Q227" i="6"/>
  <c r="Q236" i="6"/>
  <c r="N55" i="8"/>
  <c r="Q170" i="6"/>
  <c r="Q169" i="6"/>
  <c r="Q141" i="6"/>
  <c r="Q226" i="6"/>
  <c r="Q254" i="6"/>
  <c r="Q180" i="6"/>
  <c r="Q223" i="6"/>
  <c r="Q156" i="6"/>
  <c r="Q137" i="6"/>
  <c r="Q190" i="6"/>
  <c r="Q212" i="6"/>
  <c r="Q206" i="6"/>
  <c r="Q161" i="6"/>
  <c r="Q208" i="6"/>
  <c r="Q112" i="6"/>
  <c r="Q242" i="6"/>
  <c r="Q99" i="6"/>
  <c r="N53" i="8"/>
  <c r="Q132" i="6"/>
  <c r="Q120" i="6"/>
  <c r="Q118" i="6"/>
  <c r="Q130" i="6"/>
  <c r="Q147" i="6"/>
  <c r="Q213" i="6"/>
  <c r="Q146" i="6"/>
  <c r="Q198" i="6"/>
  <c r="Q114" i="6"/>
  <c r="Q110" i="6"/>
  <c r="Q243" i="6"/>
  <c r="Q125" i="6"/>
  <c r="Q127" i="6"/>
  <c r="Q262" i="6"/>
  <c r="Q240" i="6"/>
  <c r="Q221" i="6"/>
  <c r="F59" i="6"/>
  <c r="F62" i="6"/>
  <c r="Q211" i="6"/>
  <c r="Q205" i="6"/>
  <c r="Q197" i="6"/>
  <c r="Q258" i="6"/>
  <c r="Q175" i="6"/>
  <c r="Q210" i="6"/>
  <c r="Q160" i="6"/>
  <c r="Q237" i="6"/>
  <c r="Q186" i="6"/>
  <c r="Q101" i="6"/>
  <c r="F61" i="6"/>
  <c r="Q184" i="6"/>
  <c r="Q104" i="6"/>
  <c r="Q224" i="6"/>
  <c r="Q108" i="6"/>
  <c r="Q178" i="6"/>
  <c r="Q158" i="6"/>
  <c r="Q144" i="6"/>
  <c r="Q264" i="6"/>
  <c r="Q162" i="6"/>
  <c r="Q122" i="6"/>
  <c r="Q191" i="6"/>
  <c r="N77" i="8" l="1"/>
  <c r="L30" i="2"/>
  <c r="M30" i="2"/>
  <c r="N30" i="2"/>
  <c r="M65" i="2"/>
  <c r="N21" i="3"/>
  <c r="K19" i="3"/>
  <c r="K7" i="3"/>
  <c r="M7" i="3" s="1"/>
  <c r="M21" i="3" s="1"/>
  <c r="Q41" i="2"/>
  <c r="Q39" i="2"/>
  <c r="Q45" i="2"/>
  <c r="Q43" i="2"/>
  <c r="Q38" i="2"/>
  <c r="Q33" i="2"/>
  <c r="Q29" i="2"/>
  <c r="Q44" i="2"/>
  <c r="Q42" i="2"/>
  <c r="Q34" i="2"/>
  <c r="Q4" i="2"/>
  <c r="Q21" i="2"/>
  <c r="M34" i="2"/>
  <c r="Q14" i="2"/>
  <c r="M21" i="2"/>
  <c r="Q51" i="2"/>
  <c r="Q8" i="2"/>
  <c r="Q36" i="2"/>
  <c r="Q22" i="2"/>
  <c r="Q62" i="2"/>
  <c r="Q60" i="2"/>
  <c r="Q16" i="2"/>
  <c r="Q56" i="2"/>
  <c r="Q55" i="2"/>
  <c r="Q10" i="2"/>
  <c r="L21" i="2"/>
  <c r="Q50" i="2"/>
  <c r="Q40" i="2"/>
  <c r="Q26" i="2"/>
  <c r="Q20" i="2"/>
  <c r="Q61" i="2"/>
  <c r="Q17" i="2"/>
  <c r="Q57" i="2"/>
  <c r="L34" i="2"/>
  <c r="N26" i="2"/>
  <c r="Q11" i="2"/>
  <c r="M26" i="2"/>
  <c r="Q52" i="2"/>
  <c r="Q9" i="2"/>
  <c r="Q49" i="2"/>
  <c r="Q6" i="2"/>
  <c r="Q37" i="2"/>
  <c r="Q35" i="2"/>
  <c r="Q25" i="2"/>
  <c r="Q15" i="2"/>
  <c r="Q54" i="2"/>
  <c r="Q53" i="2"/>
  <c r="Q48" i="2"/>
  <c r="Q5" i="2"/>
  <c r="L55" i="2"/>
  <c r="N54" i="2"/>
  <c r="N55" i="2"/>
  <c r="M54" i="2"/>
  <c r="L67" i="2"/>
  <c r="M67" i="2"/>
  <c r="L62" i="2"/>
  <c r="M62" i="2"/>
  <c r="L66" i="2"/>
  <c r="M66" i="2"/>
  <c r="L65" i="2"/>
  <c r="N65" i="2"/>
  <c r="L61" i="2"/>
  <c r="M61" i="2"/>
  <c r="L60" i="2"/>
  <c r="M60" i="2"/>
  <c r="L45" i="2"/>
  <c r="N45" i="2"/>
  <c r="L40" i="2"/>
  <c r="M40" i="2"/>
  <c r="L16" i="2"/>
  <c r="L15" i="2"/>
  <c r="N15" i="2"/>
  <c r="M4" i="2"/>
  <c r="N4" i="2"/>
  <c r="M16" i="2"/>
  <c r="M29" i="2"/>
  <c r="M20" i="2"/>
  <c r="N44" i="2"/>
  <c r="L36" i="2"/>
  <c r="L14" i="2"/>
  <c r="N29" i="2"/>
  <c r="N50" i="2"/>
  <c r="L50" i="2"/>
  <c r="N49" i="2"/>
  <c r="N14" i="2"/>
  <c r="M44" i="2"/>
  <c r="N35" i="2"/>
  <c r="M25" i="2"/>
  <c r="L20" i="2"/>
  <c r="M49" i="2"/>
  <c r="M35" i="2"/>
  <c r="N25" i="2"/>
  <c r="M11" i="2"/>
  <c r="N10" i="2"/>
  <c r="L10" i="2"/>
  <c r="M8" i="2"/>
  <c r="L8" i="2"/>
  <c r="M9" i="2"/>
  <c r="N11" i="2"/>
  <c r="N9" i="2"/>
  <c r="N33" i="2"/>
  <c r="M33" i="2"/>
  <c r="M43" i="2"/>
  <c r="M56" i="2"/>
  <c r="L56" i="2"/>
  <c r="L42" i="2"/>
  <c r="N41" i="2"/>
  <c r="N39" i="2"/>
  <c r="M6" i="2"/>
  <c r="L48" i="2"/>
  <c r="M57" i="2"/>
  <c r="N42" i="2"/>
  <c r="M41" i="2"/>
  <c r="M39" i="2"/>
  <c r="M53" i="2"/>
  <c r="M38" i="2"/>
  <c r="N52" i="2"/>
  <c r="M37" i="2"/>
  <c r="N17" i="2"/>
  <c r="L6" i="2"/>
  <c r="N48" i="2"/>
  <c r="N57" i="2"/>
  <c r="N53" i="2"/>
  <c r="L38" i="2"/>
  <c r="N51" i="2"/>
  <c r="L37" i="2"/>
  <c r="M17" i="2"/>
  <c r="N5" i="2"/>
  <c r="L43" i="2"/>
  <c r="L52" i="2"/>
  <c r="M51" i="2"/>
  <c r="N36" i="2"/>
  <c r="M5" i="2"/>
  <c r="N22" i="2"/>
  <c r="M22" i="2"/>
  <c r="P4" i="1"/>
  <c r="N4" i="1"/>
  <c r="M4" i="1"/>
  <c r="M9" i="1"/>
  <c r="P9" i="1"/>
  <c r="N9" i="1"/>
  <c r="O9" i="1" s="1"/>
  <c r="N11" i="1"/>
  <c r="P11" i="1"/>
  <c r="M11" i="1"/>
  <c r="P8" i="1"/>
  <c r="M8" i="1"/>
  <c r="N8" i="1"/>
  <c r="P3" i="1"/>
  <c r="M3" i="1"/>
  <c r="N3" i="1"/>
  <c r="O3" i="1" s="1"/>
  <c r="K6" i="1"/>
  <c r="K7" i="1"/>
  <c r="Q131" i="6"/>
  <c r="Q257" i="6"/>
  <c r="Q267" i="6" l="1"/>
  <c r="N75" i="6" s="1"/>
  <c r="Q249" i="6"/>
  <c r="N74" i="6" s="1"/>
  <c r="Q75" i="2"/>
  <c r="M75" i="2"/>
  <c r="L75" i="2"/>
  <c r="N75" i="2"/>
  <c r="O4" i="1"/>
  <c r="O11" i="1"/>
  <c r="O8" i="1"/>
  <c r="P7" i="1"/>
  <c r="N7" i="1"/>
  <c r="M7" i="1"/>
  <c r="P6" i="1"/>
  <c r="N6" i="1"/>
  <c r="M6" i="1"/>
  <c r="N87" i="6" l="1"/>
  <c r="P87" i="6" s="1"/>
  <c r="O7" i="1"/>
  <c r="O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Jiri Kudrna</author>
  </authors>
  <commentList>
    <comment ref="F99" authorId="0" shapeId="0" xr:uid="{8113B77F-06D2-49E9-971C-875C998BC0A5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Proffessional repaint</t>
        </r>
      </text>
    </comment>
    <comment ref="H99" authorId="0" shapeId="0" xr:uid="{45AD0F7E-EAAB-4C5C-ADCC-FE0907A69280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 Repaint with epoxy and 2part PU</t>
        </r>
      </text>
    </comment>
    <comment ref="F100" authorId="0" shapeId="0" xr:uid="{10C7423C-BA4E-4EFB-A154-B27C38F1BDB5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Professional job</t>
        </r>
      </text>
    </comment>
    <comment ref="G100" authorId="0" shapeId="0" xr:uid="{F52E3E61-A0DA-418B-ADF0-EE006019D6C9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 with pro grade antislip paint
</t>
        </r>
      </text>
    </comment>
    <comment ref="H100" authorId="0" shapeId="0" xr:uid="{36092F55-C8D3-44A0-B1B6-3324ED4374F2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 sand and paint</t>
        </r>
      </text>
    </comment>
    <comment ref="F101" authorId="0" shapeId="0" xr:uid="{1B078C98-A93A-4326-BC43-764AC50B6B16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Complete osmosis treatment</t>
        </r>
      </text>
    </comment>
    <comment ref="G101" authorId="0" shapeId="0" xr:uid="{C31985B6-4D6D-4058-AB65-B7A8C234FF49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Stripping paint and sealing</t>
        </r>
      </text>
    </comment>
    <comment ref="H101" authorId="0" shapeId="0" xr:uid="{81CA2676-48B9-4267-BF33-DDF7B0400D6E}">
      <text>
        <r>
          <rPr>
            <b/>
            <sz val="9"/>
            <color indexed="81"/>
            <rFont val="Tahoma"/>
            <family val="2"/>
          </rPr>
          <t>Jiri Kudrna:
DIY stripping, barrier coat (no antifouling)</t>
        </r>
      </text>
    </comment>
    <comment ref="F102" authorId="0" shapeId="0" xr:uid="{C2AC25B1-3AF1-4E59-A090-6FAB62A291B6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contractor + paint</t>
        </r>
      </text>
    </comment>
    <comment ref="G102" authorId="0" shapeId="0" xr:uid="{3B160B14-02D5-436C-8918-CCDC50B39907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</t>
        </r>
      </text>
    </comment>
    <comment ref="H102" authorId="0" shapeId="0" xr:uid="{626E1F8F-0398-4691-8669-919B400639A1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</t>
        </r>
      </text>
    </comment>
    <comment ref="F104" authorId="0" shapeId="0" xr:uid="{6F667505-D837-4BFF-9C3A-D2E4DBB57B3D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Contractor + Marelon</t>
        </r>
      </text>
    </comment>
    <comment ref="G104" authorId="0" shapeId="0" xr:uid="{2533E080-C6F8-4D18-A4C4-D05FDC53E53B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Groko bronze, DIY</t>
        </r>
      </text>
    </comment>
    <comment ref="H104" authorId="0" shapeId="0" xr:uid="{2711C61A-042B-475B-9168-F1921FB560F7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Marelon, DIY</t>
        </r>
      </text>
    </comment>
    <comment ref="H117" authorId="0" shapeId="0" xr:uid="{44553843-6C03-4ADF-9A88-58E89B93E5F9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</t>
        </r>
      </text>
    </comment>
    <comment ref="F122" authorId="0" shapeId="0" xr:uid="{24342DB0-02C1-4DF2-99FA-C9CF94167F74}">
      <text>
        <r>
          <rPr>
            <b/>
            <sz val="9"/>
            <color indexed="81"/>
            <rFont val="Tahoma"/>
            <charset val="1"/>
          </rPr>
          <t>Jiri Kudrna:</t>
        </r>
        <r>
          <rPr>
            <sz val="9"/>
            <color indexed="81"/>
            <rFont val="Tahoma"/>
            <charset val="1"/>
          </rPr>
          <t xml:space="preserve">
removal, paint, anti-slip, contractor</t>
        </r>
      </text>
    </comment>
    <comment ref="G122" authorId="0" shapeId="0" xr:uid="{D32FC144-2AC4-4066-A096-D46BD437B401}">
      <text>
        <r>
          <rPr>
            <b/>
            <sz val="9"/>
            <color indexed="81"/>
            <rFont val="Tahoma"/>
            <charset val="1"/>
          </rPr>
          <t>Jiri Kudrna:</t>
        </r>
        <r>
          <rPr>
            <sz val="9"/>
            <color indexed="81"/>
            <rFont val="Tahoma"/>
            <charset val="1"/>
          </rPr>
          <t xml:space="preserve">
removal, paint, anti-slip, DIY</t>
        </r>
      </text>
    </comment>
    <comment ref="H122" authorId="0" shapeId="0" xr:uid="{0C25807F-24D2-4702-B8D1-E1DD44C3491C}">
      <text>
        <r>
          <rPr>
            <b/>
            <sz val="9"/>
            <color indexed="81"/>
            <rFont val="Tahoma"/>
            <charset val="1"/>
          </rPr>
          <t>Jiri Kudrna:</t>
        </r>
        <r>
          <rPr>
            <sz val="9"/>
            <color indexed="81"/>
            <rFont val="Tahoma"/>
            <charset val="1"/>
          </rPr>
          <t xml:space="preserve">
removal, paint, anti-slip, DIY, cheaper material</t>
        </r>
      </text>
    </comment>
    <comment ref="F124" authorId="0" shapeId="0" xr:uid="{E7D29E99-3991-4F1E-849C-4F48B618912B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contractor, material</t>
        </r>
      </text>
    </comment>
    <comment ref="G124" authorId="0" shapeId="0" xr:uid="{1D2E5F7E-E8D4-4BD4-BDCE-AEEECF40D108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material only</t>
        </r>
      </text>
    </comment>
    <comment ref="H124" authorId="0" shapeId="0" xr:uid="{95C32BE0-8CB8-4BA3-A0D5-8907C4C1E7B6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lifelines only</t>
        </r>
      </text>
    </comment>
    <comment ref="F125" authorId="0" shapeId="0" xr:uid="{A858FB5B-A90D-4407-A863-07AFAF403DEF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all hatches</t>
        </r>
      </text>
    </comment>
    <comment ref="G125" authorId="0" shapeId="0" xr:uid="{0BB9D096-15AE-4558-8A0D-AFA60A13FD5D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all hatches, cheaper variant</t>
        </r>
      </text>
    </comment>
    <comment ref="F131" authorId="0" shapeId="0" xr:uid="{38E6D3A5-9619-442D-AFEE-7615CEC42BEF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pro made</t>
        </r>
      </text>
    </comment>
    <comment ref="G131" authorId="0" shapeId="0" xr:uid="{AFE5E57E-E8E9-4F23-B8B5-9958544CD760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DIY, sunbrella</t>
        </r>
      </text>
    </comment>
    <comment ref="H131" authorId="0" shapeId="0" xr:uid="{ED47357D-D552-4F2E-A66E-9D3E14C48FAD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DIY, cheaper fabric</t>
        </r>
      </text>
    </comment>
    <comment ref="F141" authorId="0" shapeId="0" xr:uid="{F37F7AEC-571F-40B2-92B0-33FBABC7E9C8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repower in florida</t>
        </r>
      </text>
    </comment>
    <comment ref="G141" authorId="0" shapeId="0" xr:uid="{315EA6BA-119A-4E41-A7B3-B76091AE818A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new engine, self install</t>
        </r>
      </text>
    </comment>
    <comment ref="H141" authorId="0" shapeId="0" xr:uid="{85370FA0-713C-488D-8FB7-20DEC69E6B63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overhaul in mexico</t>
        </r>
      </text>
    </comment>
    <comment ref="F143" authorId="0" shapeId="0" xr:uid="{55942C66-8772-401B-B6C7-103D771570BE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contractor + material</t>
        </r>
      </text>
    </comment>
    <comment ref="G143" authorId="0" shapeId="0" xr:uid="{65902D1E-C48F-43E4-B81E-E96EBD475E45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material</t>
        </r>
      </text>
    </comment>
    <comment ref="F144" authorId="0" shapeId="0" xr:uid="{A0FF4E2F-AF9B-4A35-892A-54DF4E56DDF9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Maxprop</t>
        </r>
      </text>
    </comment>
    <comment ref="G144" authorId="0" shapeId="0" xr:uid="{5C503B32-DF64-48C2-86A6-BC6B5EF95D34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Bronze prop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Jiri Kudrna</author>
  </authors>
  <commentList>
    <comment ref="F90" authorId="0" shapeId="0" xr:uid="{BB1829C7-6B6A-47C6-A008-55DBEA365E2E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Proffessional repaint</t>
        </r>
      </text>
    </comment>
    <comment ref="H90" authorId="0" shapeId="0" xr:uid="{C41913B2-0F30-4177-AD7F-FA5D04C69C7B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 Repaint with epoxy and 2part PU</t>
        </r>
      </text>
    </comment>
    <comment ref="F91" authorId="0" shapeId="0" xr:uid="{64F1B70D-4837-4094-85AB-C69CFE67749F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Professional job</t>
        </r>
      </text>
    </comment>
    <comment ref="G91" authorId="0" shapeId="0" xr:uid="{F4067E63-FA28-46FD-8AE3-D4D90287CB84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 with pro grade antislip paint
</t>
        </r>
      </text>
    </comment>
    <comment ref="H91" authorId="0" shapeId="0" xr:uid="{2B5D7545-F83C-476B-84C2-108B2C24F4E9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 sand and paint</t>
        </r>
      </text>
    </comment>
    <comment ref="F92" authorId="0" shapeId="0" xr:uid="{36F5CFAD-883B-419D-87C0-B09FDD5B4921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Complete osmosis treatment</t>
        </r>
      </text>
    </comment>
    <comment ref="G92" authorId="0" shapeId="0" xr:uid="{BAC3AF21-5862-4D98-A7C0-F6C5E0C847DA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Stripping paint and sealing</t>
        </r>
      </text>
    </comment>
    <comment ref="H92" authorId="0" shapeId="0" xr:uid="{B417ADA3-A4AA-4C67-B847-622CADC45AE8}">
      <text>
        <r>
          <rPr>
            <b/>
            <sz val="9"/>
            <color indexed="81"/>
            <rFont val="Tahoma"/>
            <family val="2"/>
          </rPr>
          <t>Jiri Kudrna:
DIY stripping, barrier coat (no antifouling)</t>
        </r>
      </text>
    </comment>
    <comment ref="F93" authorId="0" shapeId="0" xr:uid="{59E9210E-7591-4367-A8BE-B7617BD98A38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contractor + paint</t>
        </r>
      </text>
    </comment>
    <comment ref="G93" authorId="0" shapeId="0" xr:uid="{01EB5C07-8114-4C9A-B285-488F9BA45EAF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</t>
        </r>
      </text>
    </comment>
    <comment ref="H93" authorId="0" shapeId="0" xr:uid="{FCF196F7-4253-4945-ACB1-B7F7D51D3560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</t>
        </r>
      </text>
    </comment>
    <comment ref="F95" authorId="0" shapeId="0" xr:uid="{61C65784-40FD-4C1B-B7D2-83C74DB5F1DE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Contractor + Marelon</t>
        </r>
      </text>
    </comment>
    <comment ref="G95" authorId="0" shapeId="0" xr:uid="{89FBD6F2-24FE-4433-8F8D-B474678CD8FC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Groko bronze, DIY</t>
        </r>
      </text>
    </comment>
    <comment ref="H95" authorId="0" shapeId="0" xr:uid="{E82AA93D-0EB2-40AD-B76C-BB5C7FFAEF35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Marelon, DIY</t>
        </r>
      </text>
    </comment>
    <comment ref="H108" authorId="0" shapeId="0" xr:uid="{305F6663-F74E-481F-94B4-731E86D2ACCD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</t>
        </r>
      </text>
    </comment>
    <comment ref="F115" authorId="0" shapeId="0" xr:uid="{B680B213-54D7-4CF5-A5B9-FE7E4C754068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contractor, material</t>
        </r>
      </text>
    </comment>
    <comment ref="G115" authorId="0" shapeId="0" xr:uid="{BAD1045F-AAFB-432D-843B-E91162173B9F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material only</t>
        </r>
      </text>
    </comment>
    <comment ref="H115" authorId="0" shapeId="0" xr:uid="{F3BC628A-DE5E-4DC9-A11F-6CED05CA6631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lifelines only</t>
        </r>
      </text>
    </comment>
    <comment ref="F116" authorId="0" shapeId="0" xr:uid="{02101A5F-523B-404F-AB85-F1B3BC775A0B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all hatches</t>
        </r>
      </text>
    </comment>
    <comment ref="G116" authorId="0" shapeId="0" xr:uid="{56E136BB-5643-4379-84F4-B02E4F98B453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all hatches, cheaper variant</t>
        </r>
      </text>
    </comment>
    <comment ref="F122" authorId="0" shapeId="0" xr:uid="{BAE4544D-3969-4632-9510-A2A5B2D484AC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pro made</t>
        </r>
      </text>
    </comment>
    <comment ref="G122" authorId="0" shapeId="0" xr:uid="{DA5822EB-C9A4-4850-8F51-8E2B6753AE4D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DIY, sunbrella</t>
        </r>
      </text>
    </comment>
    <comment ref="H122" authorId="0" shapeId="0" xr:uid="{53DF7AB7-F208-49B8-BD7B-899F5EBDA57D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DIY, cheaper fabric</t>
        </r>
      </text>
    </comment>
    <comment ref="F132" authorId="0" shapeId="0" xr:uid="{6647C312-C23A-477B-9983-1BEF3C61DA6E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repower in florida</t>
        </r>
      </text>
    </comment>
    <comment ref="G132" authorId="0" shapeId="0" xr:uid="{1A2758E6-D1D2-401C-9B5D-69C2C0A637E9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new engine, self install</t>
        </r>
      </text>
    </comment>
    <comment ref="H132" authorId="0" shapeId="0" xr:uid="{3E2B1A76-CECB-4E32-89F1-8475BF979EAE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overhaul in mexico</t>
        </r>
      </text>
    </comment>
    <comment ref="F134" authorId="0" shapeId="0" xr:uid="{2A0B983B-0F81-4C29-8028-73373D083595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contractor + material</t>
        </r>
      </text>
    </comment>
    <comment ref="G134" authorId="0" shapeId="0" xr:uid="{6E1E85BB-822D-4279-BC6E-508FBB627135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material</t>
        </r>
      </text>
    </comment>
    <comment ref="F135" authorId="0" shapeId="0" xr:uid="{13156A6C-5E62-4714-9EE4-88E58B82939D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Maxprop</t>
        </r>
      </text>
    </comment>
    <comment ref="G135" authorId="0" shapeId="0" xr:uid="{3C11A029-F02F-4D49-A1DD-2F8E5E0EEE8D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Bronze prop</t>
        </r>
      </text>
    </comment>
  </commentList>
</comments>
</file>

<file path=xl/sharedStrings.xml><?xml version="1.0" encoding="utf-8"?>
<sst xmlns="http://schemas.openxmlformats.org/spreadsheetml/2006/main" count="2038" uniqueCount="799">
  <si>
    <t>Voltage</t>
  </si>
  <si>
    <t>Ah</t>
  </si>
  <si>
    <t>Price</t>
  </si>
  <si>
    <t>LiTime 12V 460Ah</t>
  </si>
  <si>
    <t>Target Wh</t>
  </si>
  <si>
    <t>Wh Total</t>
  </si>
  <si>
    <t>Price Total</t>
  </si>
  <si>
    <t>Price/kWh</t>
  </si>
  <si>
    <t>LiTime 12V 230Ah</t>
  </si>
  <si>
    <t>Weight Total</t>
  </si>
  <si>
    <t>Price Installation Material</t>
  </si>
  <si>
    <t xml:space="preserve">Weight </t>
  </si>
  <si>
    <t>Wh Per Battery</t>
  </si>
  <si>
    <t>#Batteries</t>
  </si>
  <si>
    <t>LiTime 12V 100Ah</t>
  </si>
  <si>
    <t>LiTime 48V 100Ah</t>
  </si>
  <si>
    <t>LiTime 24V 230Ah</t>
  </si>
  <si>
    <t>Self Made 1: 12V 280-EVE, 400A BMS, in US</t>
  </si>
  <si>
    <t>Self Made 2: 24V 280-EVE, 200A BMS, in US</t>
  </si>
  <si>
    <t>Watermaker</t>
  </si>
  <si>
    <t>Interior lights</t>
  </si>
  <si>
    <t>GPS</t>
  </si>
  <si>
    <t>VHF radio (tx)</t>
  </si>
  <si>
    <t>VHF radio (rx)</t>
  </si>
  <si>
    <t>Bilge pump</t>
  </si>
  <si>
    <t>Anchor Light</t>
  </si>
  <si>
    <t>Stereo</t>
  </si>
  <si>
    <t>Draw</t>
  </si>
  <si>
    <t>Usage Anchor</t>
  </si>
  <si>
    <t>Usage Passage</t>
  </si>
  <si>
    <t>Usage Marina</t>
  </si>
  <si>
    <t>Systems</t>
  </si>
  <si>
    <t>Navigation</t>
  </si>
  <si>
    <t>Galley</t>
  </si>
  <si>
    <t>Lights</t>
  </si>
  <si>
    <t>Fridge</t>
  </si>
  <si>
    <t>Freezer</t>
  </si>
  <si>
    <t>Toilet pump</t>
  </si>
  <si>
    <t>Windlass</t>
  </si>
  <si>
    <t>Starlink</t>
  </si>
  <si>
    <t>Computer</t>
  </si>
  <si>
    <t>Laptop Charging</t>
  </si>
  <si>
    <t>Fans</t>
  </si>
  <si>
    <t>Freshwater pump</t>
  </si>
  <si>
    <t>Blender</t>
  </si>
  <si>
    <t>Charging</t>
  </si>
  <si>
    <t>Power Tools Charging</t>
  </si>
  <si>
    <t>Electrical System Standby</t>
  </si>
  <si>
    <t>System Monitoring</t>
  </si>
  <si>
    <t>Spreader/Deck Lights</t>
  </si>
  <si>
    <t>Navigation Lights</t>
  </si>
  <si>
    <t>Microwave</t>
  </si>
  <si>
    <t>Wifi</t>
  </si>
  <si>
    <t>Navigation Computer</t>
  </si>
  <si>
    <t>Navigation Computer Monitor</t>
  </si>
  <si>
    <t>Work Computer Standby</t>
  </si>
  <si>
    <t>Monitor 1 Standby</t>
  </si>
  <si>
    <t>Monitor 1 On</t>
  </si>
  <si>
    <t xml:space="preserve"> </t>
  </si>
  <si>
    <t>Monitor 2 On</t>
  </si>
  <si>
    <t>Monitor 2 Standby</t>
  </si>
  <si>
    <t>Monitor 3 On</t>
  </si>
  <si>
    <t>Monitor 3 Standby</t>
  </si>
  <si>
    <t>Wh Anchor</t>
  </si>
  <si>
    <t>Wh Marina</t>
  </si>
  <si>
    <t>Wh Passage</t>
  </si>
  <si>
    <t>Work Computer Working</t>
  </si>
  <si>
    <t>Wind Generator</t>
  </si>
  <si>
    <t>Solar Panels</t>
  </si>
  <si>
    <t>Induction Stove</t>
  </si>
  <si>
    <t>AC Loads</t>
  </si>
  <si>
    <t>Inverter Standby</t>
  </si>
  <si>
    <t>Propane Selenoid</t>
  </si>
  <si>
    <t>Power</t>
  </si>
  <si>
    <t>Installed</t>
  </si>
  <si>
    <t>X</t>
  </si>
  <si>
    <t>N</t>
  </si>
  <si>
    <t>Convinience</t>
  </si>
  <si>
    <t>Anchor Alarm</t>
  </si>
  <si>
    <t>Chart plotter Helm</t>
  </si>
  <si>
    <t>Chart plotter Navtable</t>
  </si>
  <si>
    <t>Wind Instrument Helm</t>
  </si>
  <si>
    <t>Depth Sounder / Instrument Helm</t>
  </si>
  <si>
    <t>Radar (Device Only)</t>
  </si>
  <si>
    <t>AIS (Blackbox)</t>
  </si>
  <si>
    <t>Autopilot (moderate to heavy conditions)</t>
  </si>
  <si>
    <t>Skipper</t>
  </si>
  <si>
    <t>Phone Charging</t>
  </si>
  <si>
    <t>Navigation Phone/Tablet Charging</t>
  </si>
  <si>
    <t>Crew</t>
  </si>
  <si>
    <t>Usage Mean</t>
  </si>
  <si>
    <t>Wh Mean</t>
  </si>
  <si>
    <t>Generator/Charger</t>
  </si>
  <si>
    <t>Shorepower/Charger</t>
  </si>
  <si>
    <t>Wh per day</t>
  </si>
  <si>
    <t>Runtime per day</t>
  </si>
  <si>
    <t>Max Amps From Device 12V</t>
  </si>
  <si>
    <t>Max Output</t>
  </si>
  <si>
    <t>100% Output</t>
  </si>
  <si>
    <t>Version 1 (Solar and Engine Only)</t>
  </si>
  <si>
    <t>Engine with 170A Alternator</t>
  </si>
  <si>
    <t>100W Flex 18.7V/5.3A</t>
  </si>
  <si>
    <t>Victron SmartSolar 100/30</t>
  </si>
  <si>
    <t>Victron SmartSolar 100/50</t>
  </si>
  <si>
    <t>12 AWG Wire 500ft</t>
  </si>
  <si>
    <t>10 AWG Wire 100ft</t>
  </si>
  <si>
    <t>Misc Installation Material</t>
  </si>
  <si>
    <t>Lines/Webbing</t>
  </si>
  <si>
    <t>Grommets/Fasteners</t>
  </si>
  <si>
    <t>Fabric</t>
  </si>
  <si>
    <t>Wire, lugs, busbars</t>
  </si>
  <si>
    <t>Battery switches</t>
  </si>
  <si>
    <t>Balmer 170A/Regulator</t>
  </si>
  <si>
    <t>DC/DC To/From Engine Battery</t>
  </si>
  <si>
    <t>Installation Material, fuses</t>
  </si>
  <si>
    <t>Engine Starter Alternator via DC/DC Charger</t>
  </si>
  <si>
    <t>Device</t>
  </si>
  <si>
    <t>2 Big Monitors</t>
  </si>
  <si>
    <t>12V Power Supply, installation</t>
  </si>
  <si>
    <t>Batteries, based on LiTime</t>
  </si>
  <si>
    <t>Sales Tax</t>
  </si>
  <si>
    <t>Shipping Average %</t>
  </si>
  <si>
    <t>Drill</t>
  </si>
  <si>
    <t>Impact Drill</t>
  </si>
  <si>
    <t>Power Tools</t>
  </si>
  <si>
    <t>Sander</t>
  </si>
  <si>
    <t>Oscillating Multitool</t>
  </si>
  <si>
    <t>Jigsaw</t>
  </si>
  <si>
    <t>Rotary Tool</t>
  </si>
  <si>
    <t>Heatgun</t>
  </si>
  <si>
    <t>Crimptool Electric Cables</t>
  </si>
  <si>
    <t>Crimptool Battery Cable Lugs</t>
  </si>
  <si>
    <t>Crimptool For MC4 Plugs</t>
  </si>
  <si>
    <t>Angle Grinder</t>
  </si>
  <si>
    <t>12V Fuel Transfer Pump/Filter Box DIY</t>
  </si>
  <si>
    <t>Battery</t>
  </si>
  <si>
    <t>12V Water Transfer Pump Box DIY</t>
  </si>
  <si>
    <t>12V Air Pump (Dinghy)</t>
  </si>
  <si>
    <t>Floodlight/Work Light</t>
  </si>
  <si>
    <t>12V Waterproof Searchlight</t>
  </si>
  <si>
    <t>Vehicle Charger</t>
  </si>
  <si>
    <t>AC Charger</t>
  </si>
  <si>
    <t>M18 Battery 2-3Ah 18V</t>
  </si>
  <si>
    <t>M18 Battery 4-5Ah 18V</t>
  </si>
  <si>
    <t>M18 Battery 6Ah 18V</t>
  </si>
  <si>
    <t>M18 to 12V DC/DC</t>
  </si>
  <si>
    <t>Battery Adabler M18 to Ryobi</t>
  </si>
  <si>
    <t>Barracuda 200ZW Sewing Machine</t>
  </si>
  <si>
    <t>Sewing Material</t>
  </si>
  <si>
    <t>Consumables</t>
  </si>
  <si>
    <t>M18 To 12V DC/DC Box DIY</t>
  </si>
  <si>
    <t>Cordless Batteries/Charging/Adapting</t>
  </si>
  <si>
    <t>Soldgering Station</t>
  </si>
  <si>
    <t>Vacuum Wet/Dry</t>
  </si>
  <si>
    <t>Glue Gun</t>
  </si>
  <si>
    <t>Fiberglass</t>
  </si>
  <si>
    <t>Sandpaper</t>
  </si>
  <si>
    <t>Grease</t>
  </si>
  <si>
    <t>Sealants Sika/3M</t>
  </si>
  <si>
    <t>Cableties</t>
  </si>
  <si>
    <t>Tapes</t>
  </si>
  <si>
    <t>Shrinking Tubes</t>
  </si>
  <si>
    <t>Soldgering Led / Accessories</t>
  </si>
  <si>
    <t>Glues / Gluegun Sticks</t>
  </si>
  <si>
    <t>Hoseclamps</t>
  </si>
  <si>
    <t>Plumbing parts</t>
  </si>
  <si>
    <t>Wipping Twine</t>
  </si>
  <si>
    <t>All sorts of elecrical parts</t>
  </si>
  <si>
    <t>Alcohol, Acetone, Thinner</t>
  </si>
  <si>
    <t>Cleaning Supplies</t>
  </si>
  <si>
    <t>Batteries AA, AAA, 9V, etc</t>
  </si>
  <si>
    <t>Lubrication Sprays (WD40, Silicon Spray, etc)</t>
  </si>
  <si>
    <t>Oil Extraction Pump</t>
  </si>
  <si>
    <t>Electrical Multimeter</t>
  </si>
  <si>
    <t>Electrical Connectors (Crimp), wire ends</t>
  </si>
  <si>
    <t>Clamps</t>
  </si>
  <si>
    <t>Sail Repair Kit</t>
  </si>
  <si>
    <t>Spray Paint</t>
  </si>
  <si>
    <t>Hand Sewing Kit</t>
  </si>
  <si>
    <t>Googles, Gloves, Earplugs, Masks</t>
  </si>
  <si>
    <t>Underwater Epoxy</t>
  </si>
  <si>
    <t>Acid (For stainless cleaning)</t>
  </si>
  <si>
    <t>Oil/Fuelfilter Wrench</t>
  </si>
  <si>
    <t>Epoxy, Fillers, Cups, Mixing Sticks, etc.</t>
  </si>
  <si>
    <t>Polysester Resin</t>
  </si>
  <si>
    <t>Brushes</t>
  </si>
  <si>
    <t>Drill Bits</t>
  </si>
  <si>
    <t>Grease Gun</t>
  </si>
  <si>
    <t>Pry bars</t>
  </si>
  <si>
    <t>Blanking plugs</t>
  </si>
  <si>
    <t>Label maker</t>
  </si>
  <si>
    <t>Assorted repair/emergency manuals as paperbacks</t>
  </si>
  <si>
    <t>Dry Cabinet</t>
  </si>
  <si>
    <t>Optimal</t>
  </si>
  <si>
    <t>Economical</t>
  </si>
  <si>
    <t>Fabric For Small Sewing Projects</t>
  </si>
  <si>
    <t>Mechanical Tools</t>
  </si>
  <si>
    <t>Utility Knife, Blades</t>
  </si>
  <si>
    <t>Misc Tools</t>
  </si>
  <si>
    <t>Caulk Gun</t>
  </si>
  <si>
    <t>Soldgering Iron AC</t>
  </si>
  <si>
    <t>Screwdrivers set</t>
  </si>
  <si>
    <t>Heavy Duty Mechanical Tools</t>
  </si>
  <si>
    <t>Water pump pliers</t>
  </si>
  <si>
    <t>Wire stripper</t>
  </si>
  <si>
    <t>Rubber mallet</t>
  </si>
  <si>
    <t>Hacksaw/blades</t>
  </si>
  <si>
    <t>Pipe wrench</t>
  </si>
  <si>
    <t>Feeler Gauge (metric and imperial)</t>
  </si>
  <si>
    <t>Belt Tension Gauge</t>
  </si>
  <si>
    <t>Tap and die set (metric and imperial)</t>
  </si>
  <si>
    <t>Tool boxes</t>
  </si>
  <si>
    <t>Measurement Tools</t>
  </si>
  <si>
    <t>Tape measurer</t>
  </si>
  <si>
    <t>Calipers</t>
  </si>
  <si>
    <t>Micrometer</t>
  </si>
  <si>
    <t>Torx keys</t>
  </si>
  <si>
    <t>Endoscope/Boresope</t>
  </si>
  <si>
    <t>Level</t>
  </si>
  <si>
    <t>Ruler</t>
  </si>
  <si>
    <t>Protractor</t>
  </si>
  <si>
    <t>Wire cutters</t>
  </si>
  <si>
    <t>Screwdriver bits</t>
  </si>
  <si>
    <t>Powertools Accessories</t>
  </si>
  <si>
    <t>Multitool Blades</t>
  </si>
  <si>
    <t>Hole saw</t>
  </si>
  <si>
    <t>Rotary tool bits</t>
  </si>
  <si>
    <t>Orbital sander discs</t>
  </si>
  <si>
    <t>Jigsaw blades</t>
  </si>
  <si>
    <t>Grinder disks</t>
  </si>
  <si>
    <t>Temperature meter</t>
  </si>
  <si>
    <t>DC Clamp meter</t>
  </si>
  <si>
    <t>Countersink bits</t>
  </si>
  <si>
    <t>Mirror on stick</t>
  </si>
  <si>
    <t>Magnet on stick</t>
  </si>
  <si>
    <t>Offset Marking Gauge</t>
  </si>
  <si>
    <t>Pinless moisture meter (cheap)</t>
  </si>
  <si>
    <t>Bench wise</t>
  </si>
  <si>
    <t>Bolt cutters</t>
  </si>
  <si>
    <t>Paint Brushes</t>
  </si>
  <si>
    <t>Wrenches set (Metric and SAE)</t>
  </si>
  <si>
    <t>Sockets set (metric and SAE)</t>
  </si>
  <si>
    <t>Allen/Hex keys (Metric and SAE)</t>
  </si>
  <si>
    <t>Adjustable Wrenches Set</t>
  </si>
  <si>
    <t>Drive Sliding Wrench Breaker Bar T-Handle set</t>
  </si>
  <si>
    <t>Impact driver bits set</t>
  </si>
  <si>
    <t>Impact driver socket adapters</t>
  </si>
  <si>
    <t>Vise grip pliers set</t>
  </si>
  <si>
    <t>Combination pliers, Needle nose pliers set</t>
  </si>
  <si>
    <t>Hammers set</t>
  </si>
  <si>
    <t>Hammer/Axe</t>
  </si>
  <si>
    <t>Torque Wrench set</t>
  </si>
  <si>
    <t>Gear/Impeller puller</t>
  </si>
  <si>
    <t>Deck Tools</t>
  </si>
  <si>
    <t>Bucket</t>
  </si>
  <si>
    <t>Throw bucket</t>
  </si>
  <si>
    <t>Sponges</t>
  </si>
  <si>
    <t>Sanding Board</t>
  </si>
  <si>
    <t>Assorted wire</t>
  </si>
  <si>
    <t>Spare Fuses, Emergency Fuses</t>
  </si>
  <si>
    <t>Dinghy Accessories</t>
  </si>
  <si>
    <t>Set of oars</t>
  </si>
  <si>
    <t>Depth sounder kit</t>
  </si>
  <si>
    <t>Rigging Spares</t>
  </si>
  <si>
    <t>Blocks</t>
  </si>
  <si>
    <t>Spare halyard</t>
  </si>
  <si>
    <t>Spare sheets</t>
  </si>
  <si>
    <t>Spare winch handle</t>
  </si>
  <si>
    <t>Sail cloth</t>
  </si>
  <si>
    <t>Thimbles</t>
  </si>
  <si>
    <t>General spare lines</t>
  </si>
  <si>
    <t>Corrosion inhibiter (Tef-Gel or similar)</t>
  </si>
  <si>
    <t>Quick settle epoxies, plastic metal</t>
  </si>
  <si>
    <t>Dinghy anchor and rode</t>
  </si>
  <si>
    <t>Bosum chair / safety harness</t>
  </si>
  <si>
    <t>Rivet tool</t>
  </si>
  <si>
    <t>Assorted O-Rings</t>
  </si>
  <si>
    <t>Eye bolts / eye nuts</t>
  </si>
  <si>
    <t>Assorted tapping screws</t>
  </si>
  <si>
    <t>Assorted bolts/nuts/washers</t>
  </si>
  <si>
    <t>Assorted grub-screws</t>
  </si>
  <si>
    <t>Assorted rivets (alloy and monel)</t>
  </si>
  <si>
    <t>Assorted threaded rods</t>
  </si>
  <si>
    <t>Mechanical Spares</t>
  </si>
  <si>
    <t>Assorted Rope/Line 1-6mm</t>
  </si>
  <si>
    <t>Electrical Installation Tools</t>
  </si>
  <si>
    <t>Vacuum sealer</t>
  </si>
  <si>
    <t>Vacuum storage bags</t>
  </si>
  <si>
    <t>Vacuum sealer bags/roll</t>
  </si>
  <si>
    <t>Paints/Primer/Warnish</t>
  </si>
  <si>
    <t>Electric Installation Spares</t>
  </si>
  <si>
    <t>Tweezers</t>
  </si>
  <si>
    <t>Emergency Gasket Material</t>
  </si>
  <si>
    <t>Spray adhesive</t>
  </si>
  <si>
    <t>Sail repair tape</t>
  </si>
  <si>
    <t>Spare Blocks</t>
  </si>
  <si>
    <t>Spare Shackles</t>
  </si>
  <si>
    <t>Spare Hooks</t>
  </si>
  <si>
    <t>Spare carabiners</t>
  </si>
  <si>
    <t>Low Friction rings</t>
  </si>
  <si>
    <t>Soft shackles (DIY)</t>
  </si>
  <si>
    <t>Spare dyneema line</t>
  </si>
  <si>
    <t>Hollow splicing fid</t>
  </si>
  <si>
    <t>Split/cotter pins and cotter rings</t>
  </si>
  <si>
    <t>Seizing wire</t>
  </si>
  <si>
    <t>Installation</t>
  </si>
  <si>
    <t>High Output Alternator</t>
  </si>
  <si>
    <t>Inverter/Charger (3kW/120A or 2kW/80A)</t>
  </si>
  <si>
    <t>Victron Inverter/Charger</t>
  </si>
  <si>
    <t>2kW</t>
  </si>
  <si>
    <t>3kW/120A</t>
  </si>
  <si>
    <t>2kW/80A</t>
  </si>
  <si>
    <t>Sunbrella marine fabric</t>
  </si>
  <si>
    <t>Cheaper marine fabric</t>
  </si>
  <si>
    <t>Mostly Ryobi (but Milwaukee batteries)</t>
  </si>
  <si>
    <t>4x</t>
  </si>
  <si>
    <t>2x</t>
  </si>
  <si>
    <t>3x</t>
  </si>
  <si>
    <t>0x</t>
  </si>
  <si>
    <t>M18 To USB Charger</t>
  </si>
  <si>
    <t>Isolation Transformer</t>
  </si>
  <si>
    <t>3.6kW</t>
  </si>
  <si>
    <t>80l ish</t>
  </si>
  <si>
    <t>50l ish</t>
  </si>
  <si>
    <t>Mostly Milwaukee cordless</t>
  </si>
  <si>
    <t>DIY Tool Projects</t>
  </si>
  <si>
    <t>Cables and wall-plugs 12V using industrial plugs</t>
  </si>
  <si>
    <t>Sewing Kit</t>
  </si>
  <si>
    <t>Tools</t>
  </si>
  <si>
    <t>Shore power box, fuse</t>
  </si>
  <si>
    <t>Shore power cable 30A</t>
  </si>
  <si>
    <t>Installation Material, fuses, switches, sockets</t>
  </si>
  <si>
    <t>Repair/Maintenance/Cleaning Spares And Consumables</t>
  </si>
  <si>
    <t xml:space="preserve">Dry Cabinet </t>
  </si>
  <si>
    <t>Alloy arch, price approx</t>
  </si>
  <si>
    <t>Installation material, blocks, line</t>
  </si>
  <si>
    <t>Shipping (additional)</t>
  </si>
  <si>
    <t>Frame</t>
  </si>
  <si>
    <t>Solar pannel mounting material</t>
  </si>
  <si>
    <t>Installation material, hardware</t>
  </si>
  <si>
    <t>Bimini (DIY)</t>
  </si>
  <si>
    <t>Dodger (DIY)</t>
  </si>
  <si>
    <t>Anchoring System</t>
  </si>
  <si>
    <t>Anchor</t>
  </si>
  <si>
    <t>Viking 15</t>
  </si>
  <si>
    <t>Mantus M1 45lbs</t>
  </si>
  <si>
    <t>Anchor chain</t>
  </si>
  <si>
    <t>Swivel</t>
  </si>
  <si>
    <t>Kong</t>
  </si>
  <si>
    <t>Rated shakle</t>
  </si>
  <si>
    <t>Nylon rode</t>
  </si>
  <si>
    <t>150ft 8-plait</t>
  </si>
  <si>
    <t>150ft 3 strand</t>
  </si>
  <si>
    <t>Bridle (line, hardware)</t>
  </si>
  <si>
    <t>Anchor hook</t>
  </si>
  <si>
    <t>Lofrans Tigres (binnacle.com)</t>
  </si>
  <si>
    <t>DC/DC charger</t>
  </si>
  <si>
    <t>Cockpit switch incl installation</t>
  </si>
  <si>
    <t>150ft 3/8 Grade 43 BBB</t>
  </si>
  <si>
    <t>two-way 150A</t>
  </si>
  <si>
    <t>100Ah LifePo4</t>
  </si>
  <si>
    <t>Selenoid, switches, wires, lugs</t>
  </si>
  <si>
    <t>100Ah Deep-Cycle Lead-Acid</t>
  </si>
  <si>
    <t>30A Smart charger</t>
  </si>
  <si>
    <t>cables, breaker, installation material</t>
  </si>
  <si>
    <t>ANCHORING</t>
  </si>
  <si>
    <t>DECK INSTALLATIONS</t>
  </si>
  <si>
    <t>MACHINERY</t>
  </si>
  <si>
    <t>ELECTRICS</t>
  </si>
  <si>
    <t>TOOLS</t>
  </si>
  <si>
    <t>SPARE PARTS / CONSUMABLES</t>
  </si>
  <si>
    <t>DINGHY</t>
  </si>
  <si>
    <t>PROJECTS</t>
  </si>
  <si>
    <t>LiTime 230Ah, 11kWh, 800A</t>
  </si>
  <si>
    <t>DIY, 10kWh, 600A</t>
  </si>
  <si>
    <t>atlantictowers.com</t>
  </si>
  <si>
    <t>Solar Arch And Davits</t>
  </si>
  <si>
    <t>Awning (DIY)</t>
  </si>
  <si>
    <t>Dighy</t>
  </si>
  <si>
    <t>Dinghy</t>
  </si>
  <si>
    <t>Aluminum floor, 9ft, Hypalon</t>
  </si>
  <si>
    <t>Aluminum floor, 9ft, PVC</t>
  </si>
  <si>
    <t>Engine tools / repair kit</t>
  </si>
  <si>
    <t>Engine</t>
  </si>
  <si>
    <t>6HP Gasoline</t>
  </si>
  <si>
    <t>10HP Gasoline</t>
  </si>
  <si>
    <t>Launch Wheels</t>
  </si>
  <si>
    <t>Engine / Tank</t>
  </si>
  <si>
    <t>Outboard Spare Parts</t>
  </si>
  <si>
    <t>Propeller</t>
  </si>
  <si>
    <t>Safety lock engine and dinghy</t>
  </si>
  <si>
    <t>DIY elevated floor and storage box</t>
  </si>
  <si>
    <t>Essential</t>
  </si>
  <si>
    <t>Dedicated battery (separate item)</t>
  </si>
  <si>
    <t>Foot pump (backup, electric is separate item)</t>
  </si>
  <si>
    <t>Engine/ Drive Train Spare Parts</t>
  </si>
  <si>
    <t>Oil filters x5</t>
  </si>
  <si>
    <t>Engine oil 20l</t>
  </si>
  <si>
    <t>Alternator belts</t>
  </si>
  <si>
    <t>Full set of engine hoses</t>
  </si>
  <si>
    <t>Water Pump impellers x3</t>
  </si>
  <si>
    <t>Engine zincs x5</t>
  </si>
  <si>
    <t xml:space="preserve">Drive Belt </t>
  </si>
  <si>
    <t>Starter motor</t>
  </si>
  <si>
    <t>Fuel pump</t>
  </si>
  <si>
    <t>Raw water pump</t>
  </si>
  <si>
    <t>Heat exchanger</t>
  </si>
  <si>
    <t>Gasket set</t>
  </si>
  <si>
    <t>Thermostat</t>
  </si>
  <si>
    <t>Oil pressure sensor</t>
  </si>
  <si>
    <t>Propeller zincs x2</t>
  </si>
  <si>
    <t>Cutlass bearing</t>
  </si>
  <si>
    <t>Shaft seal</t>
  </si>
  <si>
    <t>Transmission fluid 4l</t>
  </si>
  <si>
    <t>Spare propeller</t>
  </si>
  <si>
    <t>Full set of hose clamps x2</t>
  </si>
  <si>
    <t>Fuel filters pre-filter x5</t>
  </si>
  <si>
    <t>Fuel filters engine x5</t>
  </si>
  <si>
    <t>Impeller</t>
  </si>
  <si>
    <t xml:space="preserve">Spark Plugs x2 </t>
  </si>
  <si>
    <t>Oil Filter x3</t>
  </si>
  <si>
    <t>Fuel Filter x3</t>
  </si>
  <si>
    <t>Anodes Kit x3</t>
  </si>
  <si>
    <t>Prop Nut and Cotter Pin</t>
  </si>
  <si>
    <t>Fuel Pump Diaphragm</t>
  </si>
  <si>
    <t>Carburetor Repair Kit</t>
  </si>
  <si>
    <t>Inflatable Repair Kit</t>
  </si>
  <si>
    <t>Water Pump Repair Kit</t>
  </si>
  <si>
    <t>Seal Kits</t>
  </si>
  <si>
    <t>75ft 3/8 Grade 43 BBB</t>
  </si>
  <si>
    <t>Cheaper one</t>
  </si>
  <si>
    <t>300ft 3 strand</t>
  </si>
  <si>
    <t>Soft floor, 8ft, PVC</t>
  </si>
  <si>
    <t>5HP Gasoline cheapest</t>
  </si>
  <si>
    <t xml:space="preserve">250W Rigid 18.9V/13.2A </t>
  </si>
  <si>
    <t>x3</t>
  </si>
  <si>
    <t>x4</t>
  </si>
  <si>
    <t>x8</t>
  </si>
  <si>
    <t>x1</t>
  </si>
  <si>
    <t>x2</t>
  </si>
  <si>
    <t>Solar Panels Arch/Bimini 1150W</t>
  </si>
  <si>
    <t>Connectors</t>
  </si>
  <si>
    <t>Connector collection box</t>
  </si>
  <si>
    <t>Solar Panels Awning 2x400W Removable/Foldable</t>
  </si>
  <si>
    <t>Smaller product</t>
  </si>
  <si>
    <t>one-way 100A</t>
  </si>
  <si>
    <t>Power wires from main battery / installation</t>
  </si>
  <si>
    <t>Windlass Power</t>
  </si>
  <si>
    <t>None</t>
  </si>
  <si>
    <t>1/0 AWG wire from house bank</t>
  </si>
  <si>
    <t>Standing Rigging</t>
  </si>
  <si>
    <t>Running Rigging</t>
  </si>
  <si>
    <t>Sails</t>
  </si>
  <si>
    <t>Forestay</t>
  </si>
  <si>
    <t>Backstay</t>
  </si>
  <si>
    <t>Cap shrouds</t>
  </si>
  <si>
    <t>Lower shrouds</t>
  </si>
  <si>
    <t>Intermediate shrouds</t>
  </si>
  <si>
    <t>Roller Furler</t>
  </si>
  <si>
    <t>Chainplates</t>
  </si>
  <si>
    <t>Beefed up offshore version</t>
  </si>
  <si>
    <t>Standard version</t>
  </si>
  <si>
    <t>Only replace necessary ones</t>
  </si>
  <si>
    <t>Mainsail Halyard: 20 meters</t>
  </si>
  <si>
    <t>Jib Halyard: 25 meters</t>
  </si>
  <si>
    <t>Main Sheet: 30 meters</t>
  </si>
  <si>
    <t>Jib Sheets: 2 x 20 meters</t>
  </si>
  <si>
    <t>Jib Furler Line: 15 meters</t>
  </si>
  <si>
    <t>Spinnaker Halyard: 35 meters</t>
  </si>
  <si>
    <t>Topping Lift: 20 meters</t>
  </si>
  <si>
    <t>Reef lines (2): 2 x 15 meters</t>
  </si>
  <si>
    <t>Outhaul line: 10 meters</t>
  </si>
  <si>
    <t>Cunningham: 5 meters</t>
  </si>
  <si>
    <t>Boom vang line: 15 meters</t>
  </si>
  <si>
    <t>Traveler lines: 2 x 5 meters</t>
  </si>
  <si>
    <t>based on 7 USD per meter</t>
  </si>
  <si>
    <t>based on 5 USD per meter</t>
  </si>
  <si>
    <t>RIGGING And Sails (Based on 40ft Hunter Legend)</t>
  </si>
  <si>
    <t>Main sheet blocks x4</t>
  </si>
  <si>
    <t>Jib sheet blocks x2</t>
  </si>
  <si>
    <t>Jib Furling blocks x3</t>
  </si>
  <si>
    <t>Reef line blocks x4</t>
  </si>
  <si>
    <t>Outhaul block x1</t>
  </si>
  <si>
    <t>Boom vang blocks x2</t>
  </si>
  <si>
    <t>Cunningham blocks x2</t>
  </si>
  <si>
    <t>Traveler blocks x2</t>
  </si>
  <si>
    <t>$50 per block</t>
  </si>
  <si>
    <t>$40 per block</t>
  </si>
  <si>
    <t>Main</t>
  </si>
  <si>
    <t>Jib</t>
  </si>
  <si>
    <t>Genoa</t>
  </si>
  <si>
    <t>Spinnacker</t>
  </si>
  <si>
    <t>Underwater Hull</t>
  </si>
  <si>
    <t>Keel</t>
  </si>
  <si>
    <t>Through Hull Fittings and Seacocks</t>
  </si>
  <si>
    <t>Non-Skid Surfaces</t>
  </si>
  <si>
    <t>Transmission</t>
  </si>
  <si>
    <t>Engine Start Battery</t>
  </si>
  <si>
    <t>Engine Controls</t>
  </si>
  <si>
    <t>Engine Instruments</t>
  </si>
  <si>
    <t>Fuel Tanks</t>
  </si>
  <si>
    <t>Fuel System (Lines, Filters)</t>
  </si>
  <si>
    <t>Fresh Water Tanks</t>
  </si>
  <si>
    <t>Fresh Water System (Pump, Lines, Focets)</t>
  </si>
  <si>
    <t>Electrical Wiring</t>
  </si>
  <si>
    <t>Generator</t>
  </si>
  <si>
    <t>Engine Exhaust System</t>
  </si>
  <si>
    <t>Steering System</t>
  </si>
  <si>
    <t>Bow Thruster</t>
  </si>
  <si>
    <t>Mooring/Docking Lines</t>
  </si>
  <si>
    <t>Fenders</t>
  </si>
  <si>
    <t>Cockpit Upholstery</t>
  </si>
  <si>
    <t>Lifelines, Stanchions</t>
  </si>
  <si>
    <t>Hatches, Portlights</t>
  </si>
  <si>
    <t>Swim Platform</t>
  </si>
  <si>
    <t>Windwane</t>
  </si>
  <si>
    <t>Propane System</t>
  </si>
  <si>
    <t>Stove/Oven</t>
  </si>
  <si>
    <t>Galley Equipment</t>
  </si>
  <si>
    <t>Sink</t>
  </si>
  <si>
    <t>Hull/Superstructure</t>
  </si>
  <si>
    <t>Mooring</t>
  </si>
  <si>
    <t>Rigging</t>
  </si>
  <si>
    <t>Deck</t>
  </si>
  <si>
    <t>Steering</t>
  </si>
  <si>
    <t>Rudder</t>
  </si>
  <si>
    <t>Propulsion</t>
  </si>
  <si>
    <t>Energy Management</t>
  </si>
  <si>
    <t>AC  Power System</t>
  </si>
  <si>
    <t>Electrical System</t>
  </si>
  <si>
    <t>DC Switchboard</t>
  </si>
  <si>
    <t>Diesel System</t>
  </si>
  <si>
    <t>Tank Monitoring</t>
  </si>
  <si>
    <t>Diesel Polishing</t>
  </si>
  <si>
    <t>Fresh Water System</t>
  </si>
  <si>
    <t>Saloon</t>
  </si>
  <si>
    <t>Below Deck</t>
  </si>
  <si>
    <t>Joinery</t>
  </si>
  <si>
    <t>Brightwork</t>
  </si>
  <si>
    <t>Structure</t>
  </si>
  <si>
    <t>Teak</t>
  </si>
  <si>
    <t>Floorboards</t>
  </si>
  <si>
    <t>Ceiling/Liners</t>
  </si>
  <si>
    <t>General</t>
  </si>
  <si>
    <t>Upholstery</t>
  </si>
  <si>
    <t>Autopilot</t>
  </si>
  <si>
    <t>Chartplotter</t>
  </si>
  <si>
    <t>VHF</t>
  </si>
  <si>
    <t>Radar</t>
  </si>
  <si>
    <t>AIS</t>
  </si>
  <si>
    <t>Heads</t>
  </si>
  <si>
    <t>Airconditioning</t>
  </si>
  <si>
    <t>Heater</t>
  </si>
  <si>
    <t>HVAC</t>
  </si>
  <si>
    <t>Ventilation</t>
  </si>
  <si>
    <t>Safety Gear</t>
  </si>
  <si>
    <t>Fire Extinguishers</t>
  </si>
  <si>
    <t>Liferaft</t>
  </si>
  <si>
    <t>Flares</t>
  </si>
  <si>
    <t>Bilge Pumps</t>
  </si>
  <si>
    <t>EPIRB</t>
  </si>
  <si>
    <t>Jacklines</t>
  </si>
  <si>
    <t>Tenders</t>
  </si>
  <si>
    <t>Registration/MMSI</t>
  </si>
  <si>
    <t>Winches</t>
  </si>
  <si>
    <t>Tools And Spares</t>
  </si>
  <si>
    <t>Spares/Consumables</t>
  </si>
  <si>
    <t>Projects</t>
  </si>
  <si>
    <t>Economic</t>
  </si>
  <si>
    <t>PASS</t>
  </si>
  <si>
    <t>Antifouling</t>
  </si>
  <si>
    <t>→</t>
  </si>
  <si>
    <t>Mast, Spreaders And Boom</t>
  </si>
  <si>
    <t>Stackpack/Lazy Jacks</t>
  </si>
  <si>
    <t>Designer</t>
  </si>
  <si>
    <t>Builder</t>
  </si>
  <si>
    <t>Model</t>
  </si>
  <si>
    <t>Year</t>
  </si>
  <si>
    <t>Performance</t>
  </si>
  <si>
    <t>Measurements</t>
  </si>
  <si>
    <t>SA/Disp</t>
  </si>
  <si>
    <t>Disp kg</t>
  </si>
  <si>
    <t>LOA ft</t>
  </si>
  <si>
    <t>Beam ft</t>
  </si>
  <si>
    <t>Draft ft</t>
  </si>
  <si>
    <t>Ttile</t>
  </si>
  <si>
    <t>Source 1</t>
  </si>
  <si>
    <t>Source 2</t>
  </si>
  <si>
    <t>Unknown</t>
  </si>
  <si>
    <t>Good</t>
  </si>
  <si>
    <t>Repair</t>
  </si>
  <si>
    <t>Dispose</t>
  </si>
  <si>
    <t>Davits</t>
  </si>
  <si>
    <t>💡</t>
  </si>
  <si>
    <t>10 kWh Battery LiFePo4</t>
  </si>
  <si>
    <t>Shore Power Connection 30A/110V</t>
  </si>
  <si>
    <t>Medical Kit</t>
  </si>
  <si>
    <t>Liferings, Buoys, Throwline</t>
  </si>
  <si>
    <t>Lifewests</t>
  </si>
  <si>
    <t>Horn</t>
  </si>
  <si>
    <t>Engine Fire Suppression System</t>
  </si>
  <si>
    <t>CO and Propane Alarms</t>
  </si>
  <si>
    <t>Engine Ventilation</t>
  </si>
  <si>
    <t>ASSESMENT</t>
  </si>
  <si>
    <t>Custom</t>
  </si>
  <si>
    <t>Custom 1</t>
  </si>
  <si>
    <t>Custom 2</t>
  </si>
  <si>
    <t>Custom 3</t>
  </si>
  <si>
    <t>Disp/Length</t>
  </si>
  <si>
    <t>Comfort Ratio</t>
  </si>
  <si>
    <t>Capsize Screening Formula</t>
  </si>
  <si>
    <t>Source 3</t>
  </si>
  <si>
    <t>Classification</t>
  </si>
  <si>
    <t>Rig</t>
  </si>
  <si>
    <t>Transom</t>
  </si>
  <si>
    <t>Cockpit</t>
  </si>
  <si>
    <t>Bow</t>
  </si>
  <si>
    <t>Gelcoat/Paint</t>
  </si>
  <si>
    <t>Shunt</t>
  </si>
  <si>
    <t>Battery monotoring system</t>
  </si>
  <si>
    <t>Incl shunt</t>
  </si>
  <si>
    <t>Shunt/Installation</t>
  </si>
  <si>
    <t>Victron smart shunt</t>
  </si>
  <si>
    <t>none, using from inverter</t>
  </si>
  <si>
    <t>Monitor (used for solar/battery monitoring)</t>
  </si>
  <si>
    <t>victron smart shunt</t>
  </si>
  <si>
    <t>State</t>
  </si>
  <si>
    <t>ItemState</t>
  </si>
  <si>
    <t>Replace</t>
  </si>
  <si>
    <t>Comment</t>
  </si>
  <si>
    <t>AssesmentTargets</t>
  </si>
  <si>
    <t>Override</t>
  </si>
  <si>
    <t>?</t>
  </si>
  <si>
    <t>Cond</t>
  </si>
  <si>
    <t>Qualification</t>
  </si>
  <si>
    <t>Build Quality</t>
  </si>
  <si>
    <t>Overall Condition</t>
  </si>
  <si>
    <t>Seawothiness</t>
  </si>
  <si>
    <t>Comfort And Accomodations</t>
  </si>
  <si>
    <t>Ease Of Handling</t>
  </si>
  <si>
    <t>Equipment And Inventory</t>
  </si>
  <si>
    <t>Aesthetics</t>
  </si>
  <si>
    <t>Maintenance History</t>
  </si>
  <si>
    <t>Previous Owner</t>
  </si>
  <si>
    <t>Gidyness Factor</t>
  </si>
  <si>
    <t>Title</t>
  </si>
  <si>
    <t>ft</t>
  </si>
  <si>
    <t>kg</t>
  </si>
  <si>
    <t>Assesment</t>
  </si>
  <si>
    <t>Investment</t>
  </si>
  <si>
    <t>Safety</t>
  </si>
  <si>
    <t>Subjective</t>
  </si>
  <si>
    <t>Hull Survey</t>
  </si>
  <si>
    <t>Engine Survey</t>
  </si>
  <si>
    <t>Asking Price</t>
  </si>
  <si>
    <t>Sales Price</t>
  </si>
  <si>
    <t>ASKING PRICE</t>
  </si>
  <si>
    <t>INVESTMENT</t>
  </si>
  <si>
    <t>Assesment Target</t>
  </si>
  <si>
    <t>Agent Fees</t>
  </si>
  <si>
    <t>per ft</t>
  </si>
  <si>
    <t>Haulout</t>
  </si>
  <si>
    <t>overall</t>
  </si>
  <si>
    <t>Qualifications</t>
  </si>
  <si>
    <t>Scores</t>
  </si>
  <si>
    <t>Seaworthiness</t>
  </si>
  <si>
    <t>Resale Value</t>
  </si>
  <si>
    <t>Value</t>
  </si>
  <si>
    <t>Relative Price</t>
  </si>
  <si>
    <t>Hull Material</t>
  </si>
  <si>
    <t>Item</t>
  </si>
  <si>
    <t>🦶</t>
  </si>
  <si>
    <t>Projects Total</t>
  </si>
  <si>
    <t>Assesment Total</t>
  </si>
  <si>
    <t>P</t>
  </si>
  <si>
    <t>Price by foot LOA</t>
  </si>
  <si>
    <t>Could be replaced by a project item below</t>
  </si>
  <si>
    <t>Ground Tackle →</t>
  </si>
  <si>
    <t>Windlass →</t>
  </si>
  <si>
    <t>Standing Rigging →</t>
  </si>
  <si>
    <t>Furling Systems →</t>
  </si>
  <si>
    <t>Running Rigging →</t>
  </si>
  <si>
    <t>Sails →</t>
  </si>
  <si>
    <t>Blocks, Tracks →</t>
  </si>
  <si>
    <t>Dodger →</t>
  </si>
  <si>
    <t>Bimini/Hardtop →</t>
  </si>
  <si>
    <t>Solar Arch →</t>
  </si>
  <si>
    <t>Awning →</t>
  </si>
  <si>
    <t>Shore Power Connection →</t>
  </si>
  <si>
    <t>House Battery Bank 💡</t>
  </si>
  <si>
    <t>Solar System 💡</t>
  </si>
  <si>
    <t>Alternator Charging 💡</t>
  </si>
  <si>
    <t>Dinghy →</t>
  </si>
  <si>
    <t>Outboard →</t>
  </si>
  <si>
    <t>Power Tools →</t>
  </si>
  <si>
    <t>Mechanical Tools →</t>
  </si>
  <si>
    <t>Sewing Kit →</t>
  </si>
  <si>
    <t>General Mechanical Spares →</t>
  </si>
  <si>
    <t>Electric Installation Spares →</t>
  </si>
  <si>
    <t>Repair/Maintenance/Cleaning Spares →</t>
  </si>
  <si>
    <t>Rigging Spares →</t>
  </si>
  <si>
    <t>Engine And Drive Train Spares →</t>
  </si>
  <si>
    <t>Outboard Spares →</t>
  </si>
  <si>
    <t>Generator Spares →</t>
  </si>
  <si>
    <t>Consumables →</t>
  </si>
  <si>
    <t>Fixed Solar System 1kW →</t>
  </si>
  <si>
    <t>Removeable Solar System 1kW →</t>
  </si>
  <si>
    <t>High Output Alternator →</t>
  </si>
  <si>
    <t>10 kWh House Batteries →</t>
  </si>
  <si>
    <t>Inverter And Battery Charger →</t>
  </si>
  <si>
    <t>Windlass Dedicated Battery →</t>
  </si>
  <si>
    <t>Working Computer →</t>
  </si>
  <si>
    <t>DIY Tools →</t>
  </si>
  <si>
    <t>Dry Cabinet →</t>
  </si>
  <si>
    <t>Dinghy Accessories / Upgrades →</t>
  </si>
  <si>
    <t>Progressive price based on 40ft LOA</t>
  </si>
  <si>
    <t>Has a calculation in another sheet</t>
  </si>
  <si>
    <t>Pedestral/Wheel</t>
  </si>
  <si>
    <t>Prop Shaft, Packing, Cutlass Bearing</t>
  </si>
  <si>
    <t>AC Cabling, Fuses, Outlets, Switchboard</t>
  </si>
  <si>
    <t>Inverter 💡</t>
  </si>
  <si>
    <t>AC Charger 💡</t>
  </si>
  <si>
    <t>Battery Monitoring 💡</t>
  </si>
  <si>
    <t>Hot Water Calorifier</t>
  </si>
  <si>
    <t>Instruments: Depth, Speed</t>
  </si>
  <si>
    <t>Wind Instrument</t>
  </si>
  <si>
    <t>System Spare Parts</t>
  </si>
  <si>
    <t>Autopilot Maintenance Kit</t>
  </si>
  <si>
    <t>Generator Spare Parts</t>
  </si>
  <si>
    <t>Holding Tank</t>
  </si>
  <si>
    <t>Head</t>
  </si>
  <si>
    <t>Shower</t>
  </si>
  <si>
    <t>PERSONAL</t>
  </si>
  <si>
    <t>275N x2</t>
  </si>
  <si>
    <t>170N x2</t>
  </si>
  <si>
    <t>170N/275N</t>
  </si>
  <si>
    <t>Jacket/Pants/Gloves</t>
  </si>
  <si>
    <t>Inflatable Lifewest</t>
  </si>
  <si>
    <t>Tropical Raingear</t>
  </si>
  <si>
    <t>Hiking Pants/Jacket Combo</t>
  </si>
  <si>
    <t>Poncho</t>
  </si>
  <si>
    <t>Personal</t>
  </si>
  <si>
    <t>Personal Items →</t>
  </si>
  <si>
    <t>Kayak, Paddleboard, etc</t>
  </si>
  <si>
    <t>Location</t>
  </si>
  <si>
    <t>Boat Name</t>
  </si>
  <si>
    <t>Vagabond 42</t>
  </si>
  <si>
    <t>Kaimi</t>
  </si>
  <si>
    <t>Rio Dulce, Guatemala</t>
  </si>
  <si>
    <t>Blue Water Yacht Builders (TAIWAN)</t>
  </si>
  <si>
    <t>George H. Stadel III</t>
  </si>
  <si>
    <t>Data</t>
  </si>
  <si>
    <t>https://sailboatdata.com/sailboat/vagabond-42/</t>
  </si>
  <si>
    <t>Lightship Displacement</t>
  </si>
  <si>
    <t>Beam</t>
  </si>
  <si>
    <t>LOA</t>
  </si>
  <si>
    <t>Modifiede Full Keel</t>
  </si>
  <si>
    <t>Skeg-Hung</t>
  </si>
  <si>
    <t>Cutter-Ketch</t>
  </si>
  <si>
    <t>Center</t>
  </si>
  <si>
    <t>Full Bow w/ Bowsprit ~1.5m</t>
  </si>
  <si>
    <t>Stern</t>
  </si>
  <si>
    <t>Traditional</t>
  </si>
  <si>
    <t>l</t>
  </si>
  <si>
    <t>Fuel Capacity</t>
  </si>
  <si>
    <t>Water Capacity</t>
  </si>
  <si>
    <t>USD</t>
  </si>
  <si>
    <t>Parameters</t>
  </si>
  <si>
    <t>Default Asking Price Subtraction</t>
  </si>
  <si>
    <t>h</t>
  </si>
  <si>
    <t>Engine Hours</t>
  </si>
  <si>
    <t>Ford Lehman 592E, 65HP</t>
  </si>
  <si>
    <t>Missing</t>
  </si>
  <si>
    <t>Required</t>
  </si>
  <si>
    <t>Old Furono BW</t>
  </si>
  <si>
    <t>SSB</t>
  </si>
  <si>
    <t>Communication</t>
  </si>
  <si>
    <t>Handheld VHF</t>
  </si>
  <si>
    <t>Compass</t>
  </si>
  <si>
    <t>Diesel Jerry Cans On Deck</t>
  </si>
  <si>
    <t>Ignore</t>
  </si>
  <si>
    <t>Cost</t>
  </si>
  <si>
    <t>Improve</t>
  </si>
  <si>
    <t>Install</t>
  </si>
  <si>
    <t>First Year Liability Insurance</t>
  </si>
  <si>
    <t>First Year Hull Insurance</t>
  </si>
  <si>
    <t>300-800</t>
  </si>
  <si>
    <t>1000-2000@80k</t>
  </si>
  <si>
    <t>Chartplotter Cockpit</t>
  </si>
  <si>
    <t>Chartplotter Navdesk</t>
  </si>
  <si>
    <t>Work Computer</t>
  </si>
  <si>
    <t>Monitor</t>
  </si>
  <si>
    <t>Navigationg Computer →</t>
  </si>
  <si>
    <t>After std. ded.</t>
  </si>
  <si>
    <t>Reduction from asking price</t>
  </si>
  <si>
    <t>SURVEY</t>
  </si>
  <si>
    <t>Draft Min/Max</t>
  </si>
  <si>
    <t>1982 Vagabond 42 - Rio Dulce, Guatemala</t>
  </si>
  <si>
    <t xml:space="preserve">https://www.sailboatsforsale.com/listings/guatemala/guatemala/1982-vagabond-42-kaimi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</si>
</sst>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* #,##0_-;\-* #,##0_-;_-* &quot;-&quot;??_-;_-@_-"/>
    <numFmt numFmtId="165" formatCode="_-* #,##0.0_-;\-* #,##0.0_-;_-* &quot;-&quot;??_-;_-@_-"/>
    <numFmt numFmtId="166" formatCode="0.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sz val="8"/>
      <color theme="7" tint="0.7999816888943144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16"/>
      <color rgb="FF3F3F76"/>
      <name val="Calibri"/>
      <family val="2"/>
      <scheme val="minor"/>
    </font>
    <font>
      <sz val="10"/>
      <color theme="2" tint="-0.749992370372631"/>
      <name val="Calibri"/>
      <family val="2"/>
      <scheme val="minor"/>
    </font>
    <font>
      <sz val="9"/>
      <color theme="2" tint="-0.249977111117893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0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2"/>
      <color rgb="FF3F3F76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  <xf numFmtId="0" fontId="5" fillId="4" borderId="0" applyNumberFormat="0" applyBorder="0" applyAlignment="0" applyProtection="0"/>
    <xf numFmtId="9" fontId="1" fillId="0" borderId="0" applyFont="0" applyFill="0" applyBorder="0" applyAlignment="0" applyProtection="0"/>
    <xf numFmtId="0" fontId="1" fillId="5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181">
    <xf numFmtId="0" fontId="0" fillId="0" borderId="0" xfId="0"/>
    <xf numFmtId="44" fontId="0" fillId="0" borderId="0" xfId="2" applyFont="1"/>
    <xf numFmtId="2" fontId="0" fillId="0" borderId="0" xfId="0" applyNumberFormat="1"/>
    <xf numFmtId="0" fontId="3" fillId="3" borderId="1" xfId="4"/>
    <xf numFmtId="43" fontId="0" fillId="0" borderId="0" xfId="1" applyFont="1"/>
    <xf numFmtId="164" fontId="0" fillId="0" borderId="0" xfId="1" applyNumberFormat="1" applyFont="1"/>
    <xf numFmtId="164" fontId="0" fillId="0" borderId="0" xfId="0" applyNumberFormat="1"/>
    <xf numFmtId="2" fontId="0" fillId="0" borderId="0" xfId="2" applyNumberFormat="1" applyFont="1"/>
    <xf numFmtId="0" fontId="0" fillId="0" borderId="0" xfId="0" applyAlignment="1">
      <alignment horizontal="right" vertical="top" wrapText="1"/>
    </xf>
    <xf numFmtId="2" fontId="0" fillId="0" borderId="0" xfId="0" applyNumberFormat="1" applyAlignment="1">
      <alignment horizontal="right" vertical="top" wrapText="1"/>
    </xf>
    <xf numFmtId="164" fontId="0" fillId="0" borderId="0" xfId="1" applyNumberFormat="1" applyFont="1" applyAlignment="1">
      <alignment horizontal="right" vertical="top" wrapText="1"/>
    </xf>
    <xf numFmtId="44" fontId="0" fillId="0" borderId="0" xfId="2" applyFont="1" applyAlignment="1">
      <alignment horizontal="right" vertical="top" wrapText="1"/>
    </xf>
    <xf numFmtId="2" fontId="0" fillId="0" borderId="0" xfId="2" applyNumberFormat="1" applyFont="1" applyAlignment="1">
      <alignment horizontal="right" vertical="top" wrapText="1"/>
    </xf>
    <xf numFmtId="0" fontId="3" fillId="3" borderId="1" xfId="4" applyAlignment="1">
      <alignment horizontal="right" vertical="top" wrapText="1"/>
    </xf>
    <xf numFmtId="0" fontId="4" fillId="0" borderId="0" xfId="0" applyFont="1"/>
    <xf numFmtId="2" fontId="2" fillId="2" borderId="1" xfId="3" applyNumberFormat="1"/>
    <xf numFmtId="44" fontId="2" fillId="2" borderId="1" xfId="3" applyNumberFormat="1"/>
    <xf numFmtId="164" fontId="5" fillId="4" borderId="0" xfId="5" applyNumberFormat="1"/>
    <xf numFmtId="44" fontId="5" fillId="4" borderId="0" xfId="5" applyNumberFormat="1"/>
    <xf numFmtId="2" fontId="5" fillId="4" borderId="0" xfId="5" applyNumberFormat="1"/>
    <xf numFmtId="0" fontId="0" fillId="0" borderId="0" xfId="0" applyAlignment="1">
      <alignment horizontal="right"/>
    </xf>
    <xf numFmtId="0" fontId="0" fillId="0" borderId="0" xfId="0" applyAlignment="1">
      <alignment vertical="center" wrapText="1"/>
    </xf>
    <xf numFmtId="2" fontId="2" fillId="2" borderId="1" xfId="1" applyNumberFormat="1" applyFont="1" applyFill="1" applyBorder="1"/>
    <xf numFmtId="2" fontId="2" fillId="2" borderId="1" xfId="1" applyNumberFormat="1" applyFont="1" applyFill="1" applyBorder="1" applyAlignment="1">
      <alignment vertical="center" wrapText="1"/>
    </xf>
    <xf numFmtId="2" fontId="0" fillId="0" borderId="0" xfId="1" applyNumberFormat="1" applyFont="1"/>
    <xf numFmtId="9" fontId="0" fillId="0" borderId="0" xfId="0" applyNumberFormat="1"/>
    <xf numFmtId="2" fontId="3" fillId="3" borderId="1" xfId="4" applyNumberFormat="1"/>
    <xf numFmtId="0" fontId="0" fillId="0" borderId="0" xfId="0" applyAlignment="1">
      <alignment horizontal="center" vertical="top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8" xfId="0" applyBorder="1" applyAlignment="1">
      <alignment horizontal="center"/>
    </xf>
    <xf numFmtId="43" fontId="0" fillId="0" borderId="2" xfId="1" applyFont="1" applyBorder="1" applyAlignment="1">
      <alignment horizontal="center"/>
    </xf>
    <xf numFmtId="43" fontId="0" fillId="0" borderId="4" xfId="1" applyFont="1" applyBorder="1" applyAlignment="1">
      <alignment horizontal="center"/>
    </xf>
    <xf numFmtId="2" fontId="2" fillId="2" borderId="6" xfId="1" applyNumberFormat="1" applyFont="1" applyFill="1" applyBorder="1" applyAlignment="1">
      <alignment horizontal="center"/>
    </xf>
    <xf numFmtId="2" fontId="0" fillId="0" borderId="4" xfId="1" applyNumberFormat="1" applyFont="1" applyBorder="1" applyAlignment="1">
      <alignment horizontal="center"/>
    </xf>
    <xf numFmtId="43" fontId="0" fillId="0" borderId="7" xfId="1" applyFont="1" applyBorder="1" applyAlignment="1">
      <alignment horizontal="center"/>
    </xf>
    <xf numFmtId="165" fontId="0" fillId="0" borderId="0" xfId="1" applyNumberFormat="1" applyFont="1"/>
    <xf numFmtId="165" fontId="2" fillId="2" borderId="1" xfId="1" applyNumberFormat="1" applyFont="1" applyFill="1" applyBorder="1"/>
    <xf numFmtId="165" fontId="0" fillId="0" borderId="0" xfId="0" applyNumberFormat="1"/>
    <xf numFmtId="43" fontId="0" fillId="0" borderId="0" xfId="1" applyFont="1" applyAlignment="1">
      <alignment horizontal="right" vertical="top" wrapText="1"/>
    </xf>
    <xf numFmtId="165" fontId="0" fillId="0" borderId="0" xfId="1" applyNumberFormat="1" applyFont="1" applyAlignment="1">
      <alignment horizontal="right" vertical="top" wrapText="1"/>
    </xf>
    <xf numFmtId="165" fontId="4" fillId="0" borderId="0" xfId="1" applyNumberFormat="1" applyFont="1"/>
    <xf numFmtId="43" fontId="0" fillId="0" borderId="0" xfId="0" applyNumberFormat="1"/>
    <xf numFmtId="165" fontId="2" fillId="2" borderId="1" xfId="3" applyNumberFormat="1"/>
    <xf numFmtId="43" fontId="4" fillId="0" borderId="0" xfId="0" applyNumberFormat="1" applyFont="1"/>
    <xf numFmtId="43" fontId="4" fillId="0" borderId="0" xfId="1" applyFont="1"/>
    <xf numFmtId="0" fontId="7" fillId="0" borderId="0" xfId="0" applyFont="1"/>
    <xf numFmtId="44" fontId="0" fillId="7" borderId="10" xfId="2" applyFont="1" applyFill="1" applyBorder="1"/>
    <xf numFmtId="0" fontId="0" fillId="7" borderId="10" xfId="0" applyFill="1" applyBorder="1"/>
    <xf numFmtId="44" fontId="0" fillId="8" borderId="10" xfId="2" applyFont="1" applyFill="1" applyBorder="1"/>
    <xf numFmtId="0" fontId="0" fillId="8" borderId="10" xfId="0" applyFill="1" applyBorder="1"/>
    <xf numFmtId="43" fontId="0" fillId="0" borderId="10" xfId="1" applyFont="1" applyFill="1" applyBorder="1" applyAlignment="1">
      <alignment horizontal="center"/>
    </xf>
    <xf numFmtId="44" fontId="4" fillId="0" borderId="0" xfId="0" applyNumberFormat="1" applyFont="1"/>
    <xf numFmtId="0" fontId="0" fillId="0" borderId="15" xfId="0" applyBorder="1"/>
    <xf numFmtId="0" fontId="0" fillId="0" borderId="17" xfId="0" applyBorder="1"/>
    <xf numFmtId="0" fontId="0" fillId="9" borderId="0" xfId="0" applyFill="1"/>
    <xf numFmtId="0" fontId="0" fillId="0" borderId="10" xfId="0" applyBorder="1"/>
    <xf numFmtId="0" fontId="0" fillId="0" borderId="10" xfId="0" applyBorder="1" applyAlignment="1">
      <alignment horizontal="right" vertical="top" wrapText="1"/>
    </xf>
    <xf numFmtId="0" fontId="0" fillId="9" borderId="10" xfId="0" applyFill="1" applyBorder="1"/>
    <xf numFmtId="0" fontId="4" fillId="9" borderId="10" xfId="0" applyFont="1" applyFill="1" applyBorder="1"/>
    <xf numFmtId="0" fontId="0" fillId="9" borderId="12" xfId="0" applyFill="1" applyBorder="1"/>
    <xf numFmtId="44" fontId="0" fillId="7" borderId="19" xfId="2" applyFont="1" applyFill="1" applyBorder="1"/>
    <xf numFmtId="44" fontId="0" fillId="8" borderId="19" xfId="2" applyFont="1" applyFill="1" applyBorder="1"/>
    <xf numFmtId="43" fontId="0" fillId="9" borderId="0" xfId="1" applyFont="1" applyFill="1"/>
    <xf numFmtId="0" fontId="6" fillId="10" borderId="0" xfId="0" applyFont="1" applyFill="1"/>
    <xf numFmtId="0" fontId="5" fillId="10" borderId="0" xfId="0" applyFont="1" applyFill="1"/>
    <xf numFmtId="0" fontId="5" fillId="10" borderId="10" xfId="0" applyFont="1" applyFill="1" applyBorder="1"/>
    <xf numFmtId="0" fontId="0" fillId="0" borderId="19" xfId="0" applyBorder="1"/>
    <xf numFmtId="0" fontId="0" fillId="0" borderId="20" xfId="0" applyBorder="1"/>
    <xf numFmtId="0" fontId="0" fillId="0" borderId="16" xfId="0" applyBorder="1"/>
    <xf numFmtId="44" fontId="1" fillId="5" borderId="10" xfId="7" applyNumberFormat="1" applyBorder="1"/>
    <xf numFmtId="0" fontId="1" fillId="5" borderId="10" xfId="7" applyBorder="1"/>
    <xf numFmtId="0" fontId="0" fillId="9" borderId="19" xfId="0" applyFill="1" applyBorder="1"/>
    <xf numFmtId="44" fontId="1" fillId="5" borderId="19" xfId="7" applyNumberFormat="1" applyBorder="1"/>
    <xf numFmtId="0" fontId="0" fillId="9" borderId="11" xfId="0" applyFill="1" applyBorder="1"/>
    <xf numFmtId="44" fontId="4" fillId="7" borderId="11" xfId="2" applyFont="1" applyFill="1" applyBorder="1"/>
    <xf numFmtId="44" fontId="4" fillId="8" borderId="11" xfId="2" applyFont="1" applyFill="1" applyBorder="1"/>
    <xf numFmtId="44" fontId="4" fillId="5" borderId="11" xfId="7" applyNumberFormat="1" applyFont="1" applyBorder="1"/>
    <xf numFmtId="44" fontId="0" fillId="7" borderId="20" xfId="2" applyFont="1" applyFill="1" applyBorder="1"/>
    <xf numFmtId="44" fontId="0" fillId="8" borderId="20" xfId="2" applyFont="1" applyFill="1" applyBorder="1"/>
    <xf numFmtId="44" fontId="1" fillId="5" borderId="20" xfId="7" applyNumberFormat="1" applyBorder="1"/>
    <xf numFmtId="43" fontId="1" fillId="0" borderId="13" xfId="1" applyFont="1" applyFill="1" applyBorder="1" applyAlignment="1">
      <alignment horizontal="center"/>
    </xf>
    <xf numFmtId="0" fontId="1" fillId="0" borderId="0" xfId="0" applyFont="1"/>
    <xf numFmtId="44" fontId="1" fillId="7" borderId="13" xfId="2" applyFont="1" applyFill="1" applyBorder="1"/>
    <xf numFmtId="44" fontId="1" fillId="7" borderId="18" xfId="2" applyFont="1" applyFill="1" applyBorder="1"/>
    <xf numFmtId="44" fontId="1" fillId="7" borderId="21" xfId="2" applyFont="1" applyFill="1" applyBorder="1"/>
    <xf numFmtId="44" fontId="1" fillId="7" borderId="22" xfId="2" applyFont="1" applyFill="1" applyBorder="1"/>
    <xf numFmtId="0" fontId="1" fillId="7" borderId="13" xfId="0" applyFont="1" applyFill="1" applyBorder="1"/>
    <xf numFmtId="0" fontId="1" fillId="0" borderId="15" xfId="0" applyFont="1" applyBorder="1"/>
    <xf numFmtId="9" fontId="1" fillId="0" borderId="0" xfId="6" applyFont="1" applyBorder="1"/>
    <xf numFmtId="0" fontId="1" fillId="0" borderId="17" xfId="0" applyFont="1" applyBorder="1"/>
    <xf numFmtId="43" fontId="1" fillId="0" borderId="10" xfId="1" applyFont="1" applyFill="1" applyBorder="1" applyAlignment="1">
      <alignment horizontal="center"/>
    </xf>
    <xf numFmtId="44" fontId="1" fillId="8" borderId="10" xfId="2" applyFont="1" applyFill="1" applyBorder="1"/>
    <xf numFmtId="44" fontId="1" fillId="8" borderId="19" xfId="2" applyFont="1" applyFill="1" applyBorder="1"/>
    <xf numFmtId="44" fontId="1" fillId="8" borderId="11" xfId="2" applyFont="1" applyFill="1" applyBorder="1"/>
    <xf numFmtId="44" fontId="1" fillId="8" borderId="20" xfId="2" applyFont="1" applyFill="1" applyBorder="1"/>
    <xf numFmtId="0" fontId="1" fillId="8" borderId="10" xfId="0" applyFont="1" applyFill="1" applyBorder="1"/>
    <xf numFmtId="44" fontId="1" fillId="5" borderId="11" xfId="7" applyNumberFormat="1" applyBorder="1"/>
    <xf numFmtId="0" fontId="8" fillId="9" borderId="10" xfId="0" applyFont="1" applyFill="1" applyBorder="1"/>
    <xf numFmtId="44" fontId="9" fillId="5" borderId="10" xfId="7" applyNumberFormat="1" applyFont="1" applyBorder="1"/>
    <xf numFmtId="44" fontId="10" fillId="5" borderId="10" xfId="7" applyNumberFormat="1" applyFont="1" applyBorder="1"/>
    <xf numFmtId="44" fontId="0" fillId="7" borderId="0" xfId="2" applyFont="1" applyFill="1"/>
    <xf numFmtId="44" fontId="0" fillId="8" borderId="0" xfId="2" applyFont="1" applyFill="1"/>
    <xf numFmtId="44" fontId="0" fillId="6" borderId="0" xfId="2" applyFont="1" applyFill="1"/>
    <xf numFmtId="0" fontId="13" fillId="0" borderId="0" xfId="0" applyFont="1"/>
    <xf numFmtId="0" fontId="13" fillId="9" borderId="0" xfId="0" applyFont="1" applyFill="1"/>
    <xf numFmtId="0" fontId="13" fillId="9" borderId="0" xfId="0" applyFont="1" applyFill="1" applyAlignment="1">
      <alignment horizontal="center"/>
    </xf>
    <xf numFmtId="0" fontId="2" fillId="2" borderId="1" xfId="3"/>
    <xf numFmtId="0" fontId="0" fillId="0" borderId="0" xfId="0" applyAlignment="1">
      <alignment horizontal="center"/>
    </xf>
    <xf numFmtId="0" fontId="0" fillId="12" borderId="0" xfId="0" applyFill="1"/>
    <xf numFmtId="0" fontId="13" fillId="12" borderId="0" xfId="0" applyFont="1" applyFill="1"/>
    <xf numFmtId="44" fontId="0" fillId="12" borderId="0" xfId="2" applyFont="1" applyFill="1"/>
    <xf numFmtId="0" fontId="0" fillId="8" borderId="0" xfId="0" applyFill="1" applyAlignment="1">
      <alignment horizontal="center"/>
    </xf>
    <xf numFmtId="44" fontId="2" fillId="2" borderId="1" xfId="2" applyFont="1" applyFill="1" applyBorder="1"/>
    <xf numFmtId="44" fontId="0" fillId="11" borderId="0" xfId="2" applyFont="1" applyFill="1" applyAlignment="1">
      <alignment horizontal="center"/>
    </xf>
    <xf numFmtId="0" fontId="14" fillId="0" borderId="0" xfId="0" applyFont="1"/>
    <xf numFmtId="9" fontId="2" fillId="2" borderId="1" xfId="6" applyFont="1" applyFill="1" applyBorder="1" applyAlignment="1">
      <alignment horizontal="center"/>
    </xf>
    <xf numFmtId="44" fontId="14" fillId="3" borderId="1" xfId="2" applyFont="1" applyFill="1" applyBorder="1" applyAlignment="1">
      <alignment horizontal="right"/>
    </xf>
    <xf numFmtId="0" fontId="0" fillId="0" borderId="0" xfId="0" applyAlignment="1">
      <alignment horizontal="left"/>
    </xf>
    <xf numFmtId="9" fontId="2" fillId="2" borderId="1" xfId="6" applyFont="1" applyFill="1" applyBorder="1" applyAlignment="1">
      <alignment horizontal="left"/>
    </xf>
    <xf numFmtId="0" fontId="16" fillId="0" borderId="0" xfId="0" applyFont="1"/>
    <xf numFmtId="2" fontId="2" fillId="2" borderId="1" xfId="1" applyNumberFormat="1" applyFont="1" applyFill="1" applyBorder="1" applyAlignment="1">
      <alignment horizontal="left"/>
    </xf>
    <xf numFmtId="2" fontId="0" fillId="0" borderId="0" xfId="0" applyNumberFormat="1" applyAlignment="1">
      <alignment horizontal="left"/>
    </xf>
    <xf numFmtId="166" fontId="2" fillId="2" borderId="1" xfId="1" applyNumberFormat="1" applyFont="1" applyFill="1" applyBorder="1" applyAlignment="1">
      <alignment horizontal="left"/>
    </xf>
    <xf numFmtId="44" fontId="0" fillId="0" borderId="0" xfId="2" applyFont="1" applyAlignment="1">
      <alignment horizontal="center"/>
    </xf>
    <xf numFmtId="1" fontId="0" fillId="0" borderId="0" xfId="1" applyNumberFormat="1" applyFont="1" applyAlignment="1">
      <alignment horizontal="center"/>
    </xf>
    <xf numFmtId="1" fontId="17" fillId="0" borderId="0" xfId="1" applyNumberFormat="1" applyFont="1" applyAlignment="1">
      <alignment horizontal="center"/>
    </xf>
    <xf numFmtId="1" fontId="4" fillId="0" borderId="0" xfId="0" applyNumberFormat="1" applyFont="1"/>
    <xf numFmtId="1" fontId="4" fillId="0" borderId="0" xfId="0" applyNumberFormat="1" applyFont="1" applyAlignment="1">
      <alignment horizontal="center"/>
    </xf>
    <xf numFmtId="44" fontId="4" fillId="0" borderId="0" xfId="2" applyFont="1" applyAlignment="1">
      <alignment horizontal="center"/>
    </xf>
    <xf numFmtId="1" fontId="18" fillId="0" borderId="0" xfId="0" applyNumberFormat="1" applyFont="1" applyAlignment="1">
      <alignment horizontal="center"/>
    </xf>
    <xf numFmtId="44" fontId="0" fillId="0" borderId="0" xfId="0" applyNumberFormat="1"/>
    <xf numFmtId="44" fontId="4" fillId="0" borderId="27" xfId="0" applyNumberFormat="1" applyFont="1" applyBorder="1"/>
    <xf numFmtId="44" fontId="2" fillId="2" borderId="1" xfId="2" applyFont="1" applyFill="1" applyBorder="1" applyAlignment="1">
      <alignment horizontal="left"/>
    </xf>
    <xf numFmtId="44" fontId="2" fillId="2" borderId="0" xfId="2" applyFont="1" applyFill="1" applyBorder="1" applyAlignment="1">
      <alignment horizontal="left"/>
    </xf>
    <xf numFmtId="9" fontId="2" fillId="2" borderId="0" xfId="6" applyFont="1" applyFill="1" applyBorder="1" applyAlignment="1">
      <alignment horizontal="right"/>
    </xf>
    <xf numFmtId="44" fontId="17" fillId="0" borderId="0" xfId="2" applyFont="1"/>
    <xf numFmtId="0" fontId="4" fillId="0" borderId="0" xfId="0" applyFont="1" applyAlignment="1">
      <alignment horizontal="center"/>
    </xf>
    <xf numFmtId="166" fontId="14" fillId="3" borderId="1" xfId="2" applyNumberFormat="1" applyFont="1" applyFill="1" applyBorder="1" applyAlignment="1">
      <alignment horizontal="right"/>
    </xf>
    <xf numFmtId="166" fontId="4" fillId="0" borderId="0" xfId="0" applyNumberFormat="1" applyFont="1" applyAlignment="1">
      <alignment horizontal="center"/>
    </xf>
    <xf numFmtId="0" fontId="14" fillId="0" borderId="0" xfId="0" applyFont="1" applyAlignment="1">
      <alignment horizontal="left"/>
    </xf>
    <xf numFmtId="0" fontId="13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44" fontId="14" fillId="13" borderId="1" xfId="2" applyFont="1" applyFill="1" applyBorder="1" applyAlignment="1">
      <alignment horizontal="right"/>
    </xf>
    <xf numFmtId="164" fontId="2" fillId="2" borderId="1" xfId="1" applyNumberFormat="1" applyFont="1" applyFill="1" applyBorder="1" applyAlignment="1">
      <alignment horizontal="left"/>
    </xf>
    <xf numFmtId="166" fontId="2" fillId="2" borderId="1" xfId="1" applyNumberFormat="1" applyFont="1" applyFill="1" applyBorder="1" applyAlignment="1">
      <alignment horizontal="right"/>
    </xf>
    <xf numFmtId="2" fontId="2" fillId="2" borderId="1" xfId="1" applyNumberFormat="1" applyFont="1" applyFill="1" applyBorder="1" applyAlignment="1">
      <alignment horizontal="right"/>
    </xf>
    <xf numFmtId="9" fontId="2" fillId="2" borderId="1" xfId="6" applyFont="1" applyFill="1" applyBorder="1" applyAlignment="1">
      <alignment horizontal="right"/>
    </xf>
    <xf numFmtId="14" fontId="2" fillId="2" borderId="0" xfId="2" applyNumberFormat="1" applyFont="1" applyFill="1" applyBorder="1" applyAlignment="1">
      <alignment horizontal="left"/>
    </xf>
    <xf numFmtId="9" fontId="0" fillId="0" borderId="0" xfId="6" applyFont="1" applyAlignment="1">
      <alignment horizontal="center"/>
    </xf>
    <xf numFmtId="44" fontId="14" fillId="3" borderId="1" xfId="2" applyFont="1" applyFill="1" applyBorder="1" applyAlignment="1">
      <alignment horizontal="center"/>
    </xf>
    <xf numFmtId="0" fontId="14" fillId="0" borderId="0" xfId="0" applyFont="1" applyAlignment="1">
      <alignment horizontal="center"/>
    </xf>
    <xf numFmtId="44" fontId="4" fillId="0" borderId="27" xfId="0" applyNumberFormat="1" applyFont="1" applyBorder="1" applyAlignment="1">
      <alignment horizontal="center"/>
    </xf>
    <xf numFmtId="44" fontId="0" fillId="12" borderId="0" xfId="2" applyFont="1" applyFill="1" applyAlignment="1">
      <alignment horizontal="center"/>
    </xf>
    <xf numFmtId="0" fontId="2" fillId="2" borderId="24" xfId="3" applyBorder="1" applyAlignment="1">
      <alignment horizontal="left"/>
    </xf>
    <xf numFmtId="0" fontId="2" fillId="2" borderId="25" xfId="3" applyBorder="1" applyAlignment="1">
      <alignment horizontal="left"/>
    </xf>
    <xf numFmtId="0" fontId="19" fillId="2" borderId="24" xfId="8" applyFill="1" applyBorder="1" applyAlignment="1">
      <alignment horizontal="left"/>
    </xf>
    <xf numFmtId="0" fontId="2" fillId="2" borderId="24" xfId="3" applyBorder="1" applyAlignment="1"/>
    <xf numFmtId="0" fontId="2" fillId="2" borderId="25" xfId="3" applyBorder="1" applyAlignment="1"/>
    <xf numFmtId="0" fontId="15" fillId="2" borderId="24" xfId="3" applyFont="1" applyBorder="1" applyAlignment="1">
      <alignment horizontal="left"/>
    </xf>
    <xf numFmtId="0" fontId="15" fillId="2" borderId="25" xfId="3" applyFont="1" applyBorder="1" applyAlignment="1">
      <alignment horizontal="left"/>
    </xf>
    <xf numFmtId="0" fontId="15" fillId="2" borderId="26" xfId="3" applyFont="1" applyBorder="1" applyAlignment="1">
      <alignment horizontal="left"/>
    </xf>
    <xf numFmtId="44" fontId="0" fillId="7" borderId="12" xfId="2" applyFont="1" applyFill="1" applyBorder="1" applyAlignment="1">
      <alignment horizontal="center" vertical="center"/>
    </xf>
    <xf numFmtId="44" fontId="0" fillId="7" borderId="13" xfId="2" applyFont="1" applyFill="1" applyBorder="1" applyAlignment="1">
      <alignment horizontal="center" vertical="center"/>
    </xf>
    <xf numFmtId="44" fontId="0" fillId="8" borderId="12" xfId="2" applyFont="1" applyFill="1" applyBorder="1" applyAlignment="1">
      <alignment horizontal="center" vertical="center"/>
    </xf>
    <xf numFmtId="44" fontId="0" fillId="8" borderId="13" xfId="2" applyFont="1" applyFill="1" applyBorder="1" applyAlignment="1">
      <alignment horizontal="center" vertical="center"/>
    </xf>
    <xf numFmtId="44" fontId="1" fillId="5" borderId="14" xfId="7" applyNumberFormat="1" applyBorder="1" applyAlignment="1">
      <alignment horizontal="center" vertical="center"/>
    </xf>
    <xf numFmtId="44" fontId="1" fillId="5" borderId="9" xfId="7" applyNumberFormat="1" applyBorder="1" applyAlignment="1">
      <alignment horizontal="center" vertical="center"/>
    </xf>
    <xf numFmtId="0" fontId="0" fillId="0" borderId="0" xfId="0" applyAlignment="1">
      <alignment horizontal="center" vertical="top" wrapText="1"/>
    </xf>
    <xf numFmtId="0" fontId="2" fillId="2" borderId="24" xfId="3" applyBorder="1" applyAlignment="1">
      <alignment horizontal="center"/>
    </xf>
    <xf numFmtId="0" fontId="2" fillId="2" borderId="25" xfId="3" applyBorder="1" applyAlignment="1">
      <alignment horizontal="center"/>
    </xf>
    <xf numFmtId="0" fontId="2" fillId="2" borderId="26" xfId="3" applyBorder="1" applyAlignment="1">
      <alignment horizontal="center"/>
    </xf>
    <xf numFmtId="0" fontId="2" fillId="2" borderId="23" xfId="3" applyBorder="1" applyAlignment="1">
      <alignment horizontal="left"/>
    </xf>
    <xf numFmtId="43" fontId="23" fillId="0" borderId="0" xfId="1" applyFont="1" applyAlignment="1">
      <alignment horizontal="center"/>
    </xf>
    <xf numFmtId="0" fontId="19" fillId="0" borderId="0" xfId="8"/>
    <xf numFmtId="1" fontId="22" fillId="0" borderId="0" xfId="0" applyNumberFormat="1" applyFont="1" applyAlignment="1">
      <alignment horizontal="right"/>
    </xf>
    <xf numFmtId="10" fontId="14" fillId="3" borderId="1" xfId="6" applyNumberFormat="1" applyFont="1" applyFill="1" applyBorder="1" applyAlignment="1">
      <alignment horizontal="right"/>
    </xf>
    <xf numFmtId="44" fontId="0" fillId="0" borderId="0" xfId="2" applyFont="1"/>
    <xf numFmtId="0" fontId="24" fillId="2" borderId="24" xfId="3" applyFont="1" applyBorder="1" applyAlignment="1">
      <alignment horizontal="left"/>
    </xf>
    <xf numFmtId="0" fontId="24" fillId="2" borderId="25" xfId="3" applyFont="1" applyBorder="1" applyAlignment="1">
      <alignment horizontal="left"/>
    </xf>
  </cellXfs>
  <cellStyles count="9">
    <cellStyle name="20% - Accent4" xfId="7" builtinId="42"/>
    <cellStyle name="Accent5" xfId="5" builtinId="45"/>
    <cellStyle name="Calculation" xfId="4" builtinId="22"/>
    <cellStyle name="Comma" xfId="1" builtinId="3"/>
    <cellStyle name="Currency" xfId="2" builtinId="4"/>
    <cellStyle name="Hyperlink" xfId="8" builtinId="8"/>
    <cellStyle name="Input" xfId="3" builtinId="20"/>
    <cellStyle name="Normal" xfId="0" builtinId="0"/>
    <cellStyle name="Percent" xfId="6" builtinId="5"/>
  </cellStyles>
  <dxfs count="558"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 patternType="none">
          <fgColor auto="1"/>
          <bgColor auto="1"/>
        </patternFill>
      </fill>
    </dxf>
    <dxf>
      <font>
        <color rgb="FF9C570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D5FF"/>
      <color rgb="FFFFCCFF"/>
      <color rgb="FFFFABAB"/>
      <color rgb="FFFF9F9F"/>
      <color rgb="FFE8E8E8"/>
      <color rgb="FFDDDDDD"/>
      <color rgb="FFFFEEB7"/>
      <color rgb="FFFFE389"/>
      <color rgb="FFFFB3B3"/>
      <color rgb="FFFFA3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289891</xdr:colOff>
      <xdr:row>0</xdr:row>
      <xdr:rowOff>182219</xdr:rowOff>
    </xdr:from>
    <xdr:to>
      <xdr:col>17</xdr:col>
      <xdr:colOff>596347</xdr:colOff>
      <xdr:row>37</xdr:row>
      <xdr:rowOff>2417</xdr:rowOff>
    </xdr:to>
    <xdr:pic>
      <xdr:nvPicPr>
        <xdr:cNvPr id="2" name="Picture 1" descr="VAGABOND 42">
          <a:extLst>
            <a:ext uri="{FF2B5EF4-FFF2-40B4-BE49-F238E27FC236}">
              <a16:creationId xmlns:a16="http://schemas.microsoft.com/office/drawing/2014/main" id="{A7B0E062-5D0E-22F8-FAF0-83909F9CF5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81021" y="182219"/>
          <a:ext cx="5847522" cy="68769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33130</xdr:colOff>
      <xdr:row>235</xdr:row>
      <xdr:rowOff>49696</xdr:rowOff>
    </xdr:from>
    <xdr:to>
      <xdr:col>2</xdr:col>
      <xdr:colOff>49695</xdr:colOff>
      <xdr:row>237</xdr:row>
      <xdr:rowOff>74544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85C6E3B4-578A-ACA7-052D-EA43CDF9DD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630" y="44701239"/>
          <a:ext cx="405848" cy="405848"/>
        </a:xfrm>
        <a:prstGeom prst="rect">
          <a:avLst/>
        </a:prstGeom>
      </xdr:spPr>
    </xdr:pic>
    <xdr:clientData/>
  </xdr:twoCellAnchor>
  <xdr:twoCellAnchor editAs="oneCell">
    <xdr:from>
      <xdr:col>1</xdr:col>
      <xdr:colOff>16565</xdr:colOff>
      <xdr:row>197</xdr:row>
      <xdr:rowOff>41412</xdr:rowOff>
    </xdr:from>
    <xdr:to>
      <xdr:col>1</xdr:col>
      <xdr:colOff>381001</xdr:colOff>
      <xdr:row>199</xdr:row>
      <xdr:rowOff>24848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B30582B4-E2E3-3491-CAEC-CDEAF25AAD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065" y="37263455"/>
          <a:ext cx="364436" cy="364436"/>
        </a:xfrm>
        <a:prstGeom prst="rect">
          <a:avLst/>
        </a:prstGeom>
      </xdr:spPr>
    </xdr:pic>
    <xdr:clientData/>
  </xdr:twoCellAnchor>
  <xdr:twoCellAnchor editAs="oneCell">
    <xdr:from>
      <xdr:col>1</xdr:col>
      <xdr:colOff>8283</xdr:colOff>
      <xdr:row>203</xdr:row>
      <xdr:rowOff>190500</xdr:rowOff>
    </xdr:from>
    <xdr:to>
      <xdr:col>1</xdr:col>
      <xdr:colOff>372718</xdr:colOff>
      <xdr:row>205</xdr:row>
      <xdr:rowOff>173935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F670D051-59D7-5928-00D3-E0938E5558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783" y="38555543"/>
          <a:ext cx="364435" cy="364435"/>
        </a:xfrm>
        <a:prstGeom prst="rect">
          <a:avLst/>
        </a:prstGeom>
      </xdr:spPr>
    </xdr:pic>
    <xdr:clientData/>
  </xdr:twoCellAnchor>
  <xdr:twoCellAnchor editAs="oneCell">
    <xdr:from>
      <xdr:col>1</xdr:col>
      <xdr:colOff>24848</xdr:colOff>
      <xdr:row>229</xdr:row>
      <xdr:rowOff>99391</xdr:rowOff>
    </xdr:from>
    <xdr:to>
      <xdr:col>2</xdr:col>
      <xdr:colOff>8283</xdr:colOff>
      <xdr:row>231</xdr:row>
      <xdr:rowOff>91109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F0371DC8-9193-D8AF-E221-D311330C81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348" y="43607934"/>
          <a:ext cx="372718" cy="372718"/>
        </a:xfrm>
        <a:prstGeom prst="rect">
          <a:avLst/>
        </a:prstGeom>
      </xdr:spPr>
    </xdr:pic>
    <xdr:clientData/>
  </xdr:twoCellAnchor>
  <xdr:twoCellAnchor editAs="oneCell">
    <xdr:from>
      <xdr:col>0</xdr:col>
      <xdr:colOff>157369</xdr:colOff>
      <xdr:row>189</xdr:row>
      <xdr:rowOff>149087</xdr:rowOff>
    </xdr:from>
    <xdr:to>
      <xdr:col>2</xdr:col>
      <xdr:colOff>33129</xdr:colOff>
      <xdr:row>192</xdr:row>
      <xdr:rowOff>33130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4FD53719-7A19-F497-808E-756C5A9AC5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369" y="35847130"/>
          <a:ext cx="455543" cy="455543"/>
        </a:xfrm>
        <a:prstGeom prst="rect">
          <a:avLst/>
        </a:prstGeom>
      </xdr:spPr>
    </xdr:pic>
    <xdr:clientData/>
  </xdr:twoCellAnchor>
  <xdr:twoCellAnchor editAs="oneCell">
    <xdr:from>
      <xdr:col>1</xdr:col>
      <xdr:colOff>8283</xdr:colOff>
      <xdr:row>185</xdr:row>
      <xdr:rowOff>190500</xdr:rowOff>
    </xdr:from>
    <xdr:to>
      <xdr:col>2</xdr:col>
      <xdr:colOff>0</xdr:colOff>
      <xdr:row>188</xdr:row>
      <xdr:rowOff>0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60AC5D81-AED1-B6C1-59A3-CEEEE2C51A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783" y="34936043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8284</xdr:colOff>
      <xdr:row>178</xdr:row>
      <xdr:rowOff>57978</xdr:rowOff>
    </xdr:from>
    <xdr:to>
      <xdr:col>1</xdr:col>
      <xdr:colOff>372719</xdr:colOff>
      <xdr:row>180</xdr:row>
      <xdr:rowOff>41413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9A41AC87-B374-4639-D9B2-E0FE15827F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784" y="33660521"/>
          <a:ext cx="364435" cy="364435"/>
        </a:xfrm>
        <a:prstGeom prst="rect">
          <a:avLst/>
        </a:prstGeom>
      </xdr:spPr>
    </xdr:pic>
    <xdr:clientData/>
  </xdr:twoCellAnchor>
  <xdr:twoCellAnchor editAs="oneCell">
    <xdr:from>
      <xdr:col>1</xdr:col>
      <xdr:colOff>8282</xdr:colOff>
      <xdr:row>172</xdr:row>
      <xdr:rowOff>74544</xdr:rowOff>
    </xdr:from>
    <xdr:to>
      <xdr:col>1</xdr:col>
      <xdr:colOff>381000</xdr:colOff>
      <xdr:row>174</xdr:row>
      <xdr:rowOff>66262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23BA8E1A-74BC-3CBA-F25B-56CE0834A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782" y="32534087"/>
          <a:ext cx="372718" cy="372718"/>
        </a:xfrm>
        <a:prstGeom prst="rect">
          <a:avLst/>
        </a:prstGeom>
      </xdr:spPr>
    </xdr:pic>
    <xdr:clientData/>
  </xdr:twoCellAnchor>
  <xdr:twoCellAnchor editAs="oneCell">
    <xdr:from>
      <xdr:col>0</xdr:col>
      <xdr:colOff>190499</xdr:colOff>
      <xdr:row>167</xdr:row>
      <xdr:rowOff>57977</xdr:rowOff>
    </xdr:from>
    <xdr:to>
      <xdr:col>1</xdr:col>
      <xdr:colOff>389282</xdr:colOff>
      <xdr:row>169</xdr:row>
      <xdr:rowOff>66260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C10D5236-BF5C-8B89-CD74-56BAB051E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499" y="31565020"/>
          <a:ext cx="389283" cy="389283"/>
        </a:xfrm>
        <a:prstGeom prst="rect">
          <a:avLst/>
        </a:prstGeom>
      </xdr:spPr>
    </xdr:pic>
    <xdr:clientData/>
  </xdr:twoCellAnchor>
  <xdr:twoCellAnchor editAs="oneCell">
    <xdr:from>
      <xdr:col>1</xdr:col>
      <xdr:colOff>24849</xdr:colOff>
      <xdr:row>209</xdr:row>
      <xdr:rowOff>165652</xdr:rowOff>
    </xdr:from>
    <xdr:to>
      <xdr:col>1</xdr:col>
      <xdr:colOff>372719</xdr:colOff>
      <xdr:row>211</xdr:row>
      <xdr:rowOff>132522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4E88B779-C33B-469C-3585-3AA762434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349" y="39673695"/>
          <a:ext cx="347870" cy="347870"/>
        </a:xfrm>
        <a:prstGeom prst="rect">
          <a:avLst/>
        </a:prstGeom>
      </xdr:spPr>
    </xdr:pic>
    <xdr:clientData/>
  </xdr:twoCellAnchor>
  <xdr:twoCellAnchor editAs="oneCell">
    <xdr:from>
      <xdr:col>0</xdr:col>
      <xdr:colOff>165653</xdr:colOff>
      <xdr:row>158</xdr:row>
      <xdr:rowOff>124239</xdr:rowOff>
    </xdr:from>
    <xdr:to>
      <xdr:col>2</xdr:col>
      <xdr:colOff>16567</xdr:colOff>
      <xdr:row>160</xdr:row>
      <xdr:rowOff>173936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719A005-D48A-088E-F9C9-42B21D73C9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653" y="29916782"/>
          <a:ext cx="430697" cy="43069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135</xdr:row>
      <xdr:rowOff>190500</xdr:rowOff>
    </xdr:from>
    <xdr:to>
      <xdr:col>2</xdr:col>
      <xdr:colOff>33130</xdr:colOff>
      <xdr:row>138</xdr:row>
      <xdr:rowOff>41413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5CE4103F-4AB7-0C4C-AB45-2405E6ACC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25601543"/>
          <a:ext cx="422413" cy="422413"/>
        </a:xfrm>
        <a:prstGeom prst="rect">
          <a:avLst/>
        </a:prstGeom>
      </xdr:spPr>
    </xdr:pic>
    <xdr:clientData/>
  </xdr:twoCellAnchor>
  <xdr:twoCellAnchor editAs="oneCell">
    <xdr:from>
      <xdr:col>1</xdr:col>
      <xdr:colOff>24850</xdr:colOff>
      <xdr:row>107</xdr:row>
      <xdr:rowOff>8284</xdr:rowOff>
    </xdr:from>
    <xdr:to>
      <xdr:col>2</xdr:col>
      <xdr:colOff>1</xdr:colOff>
      <xdr:row>108</xdr:row>
      <xdr:rowOff>182218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78BBC0AB-CD00-47F7-5664-0B5ED95A1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350" y="20085327"/>
          <a:ext cx="364434" cy="364434"/>
        </a:xfrm>
        <a:prstGeom prst="rect">
          <a:avLst/>
        </a:prstGeom>
      </xdr:spPr>
    </xdr:pic>
    <xdr:clientData/>
  </xdr:twoCellAnchor>
  <xdr:twoCellAnchor editAs="oneCell">
    <xdr:from>
      <xdr:col>1</xdr:col>
      <xdr:colOff>74542</xdr:colOff>
      <xdr:row>98</xdr:row>
      <xdr:rowOff>41412</xdr:rowOff>
    </xdr:from>
    <xdr:to>
      <xdr:col>1</xdr:col>
      <xdr:colOff>331303</xdr:colOff>
      <xdr:row>101</xdr:row>
      <xdr:rowOff>164298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43725C1C-ED14-DF15-9859-C378979029D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163" r="31861"/>
        <a:stretch/>
      </xdr:blipFill>
      <xdr:spPr>
        <a:xfrm>
          <a:off x="265042" y="18403955"/>
          <a:ext cx="256761" cy="694386"/>
        </a:xfrm>
        <a:prstGeom prst="rect">
          <a:avLst/>
        </a:prstGeom>
      </xdr:spPr>
    </xdr:pic>
    <xdr:clientData/>
  </xdr:twoCellAnchor>
  <xdr:twoCellAnchor editAs="oneCell">
    <xdr:from>
      <xdr:col>1</xdr:col>
      <xdr:colOff>49698</xdr:colOff>
      <xdr:row>124</xdr:row>
      <xdr:rowOff>41414</xdr:rowOff>
    </xdr:from>
    <xdr:to>
      <xdr:col>1</xdr:col>
      <xdr:colOff>377020</xdr:colOff>
      <xdr:row>126</xdr:row>
      <xdr:rowOff>33131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8B114A1B-50AA-7264-C21E-21F1089AF2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437" t="18360" r="23047" b="20702"/>
        <a:stretch/>
      </xdr:blipFill>
      <xdr:spPr>
        <a:xfrm>
          <a:off x="240198" y="23356957"/>
          <a:ext cx="327322" cy="372717"/>
        </a:xfrm>
        <a:prstGeom prst="rect">
          <a:avLst/>
        </a:prstGeom>
      </xdr:spPr>
    </xdr:pic>
    <xdr:clientData/>
  </xdr:twoCellAnchor>
  <xdr:twoCellAnchor editAs="oneCell">
    <xdr:from>
      <xdr:col>1</xdr:col>
      <xdr:colOff>8389</xdr:colOff>
      <xdr:row>114</xdr:row>
      <xdr:rowOff>33131</xdr:rowOff>
    </xdr:from>
    <xdr:to>
      <xdr:col>2</xdr:col>
      <xdr:colOff>13730</xdr:colOff>
      <xdr:row>117</xdr:row>
      <xdr:rowOff>49695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47D20067-37C1-C998-EC7E-9E572706656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422" t="-1" r="11879" b="-16250"/>
        <a:stretch/>
      </xdr:blipFill>
      <xdr:spPr>
        <a:xfrm>
          <a:off x="198889" y="21443674"/>
          <a:ext cx="394624" cy="588064"/>
        </a:xfrm>
        <a:prstGeom prst="rect">
          <a:avLst/>
        </a:prstGeom>
      </xdr:spPr>
    </xdr:pic>
    <xdr:clientData/>
  </xdr:twoCellAnchor>
  <xdr:twoCellAnchor editAs="oneCell">
    <xdr:from>
      <xdr:col>0</xdr:col>
      <xdr:colOff>149087</xdr:colOff>
      <xdr:row>152</xdr:row>
      <xdr:rowOff>91109</xdr:rowOff>
    </xdr:from>
    <xdr:to>
      <xdr:col>2</xdr:col>
      <xdr:colOff>74543</xdr:colOff>
      <xdr:row>155</xdr:row>
      <xdr:rowOff>24848</xdr:rowOff>
    </xdr:to>
    <xdr:pic>
      <xdr:nvPicPr>
        <xdr:cNvPr id="6145" name="Picture 6144">
          <a:extLst>
            <a:ext uri="{FF2B5EF4-FFF2-40B4-BE49-F238E27FC236}">
              <a16:creationId xmlns:a16="http://schemas.microsoft.com/office/drawing/2014/main" id="{28E25026-F3C1-405C-7F3C-17662BBFBD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087" y="28740652"/>
          <a:ext cx="505239" cy="505239"/>
        </a:xfrm>
        <a:prstGeom prst="rect">
          <a:avLst/>
        </a:prstGeom>
      </xdr:spPr>
    </xdr:pic>
    <xdr:clientData/>
  </xdr:twoCellAnchor>
  <xdr:twoCellAnchor editAs="oneCell">
    <xdr:from>
      <xdr:col>1</xdr:col>
      <xdr:colOff>16566</xdr:colOff>
      <xdr:row>163</xdr:row>
      <xdr:rowOff>24848</xdr:rowOff>
    </xdr:from>
    <xdr:to>
      <xdr:col>1</xdr:col>
      <xdr:colOff>372718</xdr:colOff>
      <xdr:row>165</xdr:row>
      <xdr:rowOff>0</xdr:rowOff>
    </xdr:to>
    <xdr:pic>
      <xdr:nvPicPr>
        <xdr:cNvPr id="6147" name="Picture 6146">
          <a:extLst>
            <a:ext uri="{FF2B5EF4-FFF2-40B4-BE49-F238E27FC236}">
              <a16:creationId xmlns:a16="http://schemas.microsoft.com/office/drawing/2014/main" id="{98BA44AC-B9F6-EBD7-E00F-09F7383A52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066" y="30769891"/>
          <a:ext cx="356152" cy="35615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257</xdr:row>
      <xdr:rowOff>82827</xdr:rowOff>
    </xdr:from>
    <xdr:to>
      <xdr:col>2</xdr:col>
      <xdr:colOff>41413</xdr:colOff>
      <xdr:row>259</xdr:row>
      <xdr:rowOff>132523</xdr:rowOff>
    </xdr:to>
    <xdr:pic>
      <xdr:nvPicPr>
        <xdr:cNvPr id="6149" name="Picture 6148">
          <a:extLst>
            <a:ext uri="{FF2B5EF4-FFF2-40B4-BE49-F238E27FC236}">
              <a16:creationId xmlns:a16="http://schemas.microsoft.com/office/drawing/2014/main" id="{7E479539-AB36-2F24-E290-C778716BBC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48751436"/>
          <a:ext cx="430696" cy="430696"/>
        </a:xfrm>
        <a:prstGeom prst="rect">
          <a:avLst/>
        </a:prstGeom>
      </xdr:spPr>
    </xdr:pic>
    <xdr:clientData/>
  </xdr:twoCellAnchor>
  <xdr:twoCellAnchor editAs="oneCell">
    <xdr:from>
      <xdr:col>1</xdr:col>
      <xdr:colOff>41413</xdr:colOff>
      <xdr:row>149</xdr:row>
      <xdr:rowOff>99392</xdr:rowOff>
    </xdr:from>
    <xdr:to>
      <xdr:col>1</xdr:col>
      <xdr:colOff>372718</xdr:colOff>
      <xdr:row>151</xdr:row>
      <xdr:rowOff>49697</xdr:rowOff>
    </xdr:to>
    <xdr:pic>
      <xdr:nvPicPr>
        <xdr:cNvPr id="6151" name="Graphic 6150">
          <a:extLst>
            <a:ext uri="{FF2B5EF4-FFF2-40B4-BE49-F238E27FC236}">
              <a16:creationId xmlns:a16="http://schemas.microsoft.com/office/drawing/2014/main" id="{A0473595-BB09-F35E-1AF2-DEBBCBFE7D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231913" y="28177435"/>
          <a:ext cx="331305" cy="331305"/>
        </a:xfrm>
        <a:prstGeom prst="rect">
          <a:avLst/>
        </a:prstGeom>
      </xdr:spPr>
    </xdr:pic>
    <xdr:clientData/>
  </xdr:twoCellAnchor>
  <xdr:twoCellAnchor editAs="oneCell">
    <xdr:from>
      <xdr:col>1</xdr:col>
      <xdr:colOff>8284</xdr:colOff>
      <xdr:row>143</xdr:row>
      <xdr:rowOff>1</xdr:rowOff>
    </xdr:from>
    <xdr:to>
      <xdr:col>1</xdr:col>
      <xdr:colOff>381002</xdr:colOff>
      <xdr:row>144</xdr:row>
      <xdr:rowOff>182219</xdr:rowOff>
    </xdr:to>
    <xdr:pic>
      <xdr:nvPicPr>
        <xdr:cNvPr id="6153" name="Picture 6152">
          <a:extLst>
            <a:ext uri="{FF2B5EF4-FFF2-40B4-BE49-F238E27FC236}">
              <a16:creationId xmlns:a16="http://schemas.microsoft.com/office/drawing/2014/main" id="{38A6E6C5-8384-F8C8-CAD8-863D0531C1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784" y="26935044"/>
          <a:ext cx="372718" cy="372718"/>
        </a:xfrm>
        <a:prstGeom prst="rect">
          <a:avLst/>
        </a:prstGeom>
      </xdr:spPr>
    </xdr:pic>
    <xdr:clientData/>
  </xdr:twoCellAnchor>
  <xdr:twoCellAnchor editAs="oneCell">
    <xdr:from>
      <xdr:col>1</xdr:col>
      <xdr:colOff>33130</xdr:colOff>
      <xdr:row>220</xdr:row>
      <xdr:rowOff>91109</xdr:rowOff>
    </xdr:from>
    <xdr:to>
      <xdr:col>1</xdr:col>
      <xdr:colOff>389281</xdr:colOff>
      <xdr:row>222</xdr:row>
      <xdr:rowOff>66260</xdr:rowOff>
    </xdr:to>
    <xdr:pic>
      <xdr:nvPicPr>
        <xdr:cNvPr id="6155" name="Picture 6154">
          <a:extLst>
            <a:ext uri="{FF2B5EF4-FFF2-40B4-BE49-F238E27FC236}">
              <a16:creationId xmlns:a16="http://schemas.microsoft.com/office/drawing/2014/main" id="{DDDE4360-4F39-10D1-58E0-52CDD600A2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630" y="41694652"/>
          <a:ext cx="356151" cy="356151"/>
        </a:xfrm>
        <a:prstGeom prst="rect">
          <a:avLst/>
        </a:prstGeom>
      </xdr:spPr>
    </xdr:pic>
    <xdr:clientData/>
  </xdr:twoCellAnchor>
  <xdr:twoCellAnchor editAs="oneCell">
    <xdr:from>
      <xdr:col>0</xdr:col>
      <xdr:colOff>173935</xdr:colOff>
      <xdr:row>241</xdr:row>
      <xdr:rowOff>115956</xdr:rowOff>
    </xdr:from>
    <xdr:to>
      <xdr:col>2</xdr:col>
      <xdr:colOff>33131</xdr:colOff>
      <xdr:row>243</xdr:row>
      <xdr:rowOff>173935</xdr:rowOff>
    </xdr:to>
    <xdr:pic>
      <xdr:nvPicPr>
        <xdr:cNvPr id="6157" name="Picture 6156">
          <a:extLst>
            <a:ext uri="{FF2B5EF4-FFF2-40B4-BE49-F238E27FC236}">
              <a16:creationId xmlns:a16="http://schemas.microsoft.com/office/drawing/2014/main" id="{F281269C-D747-4D7D-71D9-0EA1DECD09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935" y="45719999"/>
          <a:ext cx="438979" cy="438979"/>
        </a:xfrm>
        <a:prstGeom prst="rect">
          <a:avLst/>
        </a:prstGeom>
      </xdr:spPr>
    </xdr:pic>
    <xdr:clientData/>
  </xdr:twoCellAnchor>
  <xdr:oneCellAnchor>
    <xdr:from>
      <xdr:col>1</xdr:col>
      <xdr:colOff>0</xdr:colOff>
      <xdr:row>259</xdr:row>
      <xdr:rowOff>82827</xdr:rowOff>
    </xdr:from>
    <xdr:ext cx="430696" cy="430696"/>
    <xdr:pic>
      <xdr:nvPicPr>
        <xdr:cNvPr id="6158" name="Picture 6157">
          <a:extLst>
            <a:ext uri="{FF2B5EF4-FFF2-40B4-BE49-F238E27FC236}">
              <a16:creationId xmlns:a16="http://schemas.microsoft.com/office/drawing/2014/main" id="{3C68C7D7-6454-422C-B565-24C476A2C9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49322936"/>
          <a:ext cx="430696" cy="430696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Custom 3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8EAADB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ailboatsforsale.com/listings/guatemala/guatemala/1982-vagabond-42-kaimi" TargetMode="External"/><Relationship Id="rId7" Type="http://schemas.openxmlformats.org/officeDocument/2006/relationships/comments" Target="../comments1.xml"/><Relationship Id="rId2" Type="http://schemas.openxmlformats.org/officeDocument/2006/relationships/hyperlink" Target="https://sailboatdata.com/sailboat/vagabond-42/" TargetMode="External"/><Relationship Id="rId1" Type="http://schemas.openxmlformats.org/officeDocument/2006/relationships/hyperlink" Target="mailto:1000-2000@80k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2B670-8118-4BE8-9F48-D18C4C7BDF06}">
  <sheetPr codeName="Sheet1">
    <pageSetUpPr fitToPage="1"/>
  </sheetPr>
  <dimension ref="B2:R290"/>
  <sheetViews>
    <sheetView tabSelected="1" topLeftCell="A52" zoomScale="115" zoomScaleNormal="115" workbookViewId="0">
      <selection activeCell="P79" sqref="P79"/>
    </sheetView>
  </sheetViews>
  <sheetFormatPr defaultRowHeight="15" x14ac:dyDescent="0.25"/>
  <cols>
    <col min="1" max="1" width="2.85546875" customWidth="1"/>
    <col min="2" max="2" width="5.85546875" customWidth="1"/>
    <col min="3" max="3" width="4.85546875" customWidth="1"/>
    <col min="4" max="4" width="33.5703125" customWidth="1"/>
    <col min="5" max="5" width="3.5703125" style="104" customWidth="1"/>
    <col min="6" max="6" width="14.7109375" style="1" customWidth="1"/>
    <col min="7" max="7" width="13.7109375" style="1" customWidth="1"/>
    <col min="8" max="8" width="14.140625" style="1" customWidth="1"/>
    <col min="9" max="9" width="2.28515625" customWidth="1"/>
    <col min="10" max="10" width="3.85546875" style="108" customWidth="1"/>
    <col min="11" max="11" width="4.140625" customWidth="1"/>
    <col min="12" max="12" width="4.42578125" customWidth="1"/>
    <col min="13" max="13" width="24.85546875" style="120" customWidth="1"/>
    <col min="14" max="14" width="13.85546875" customWidth="1"/>
    <col min="15" max="15" width="8.28515625" customWidth="1"/>
    <col min="16" max="16" width="15.7109375" style="108" customWidth="1"/>
    <col min="17" max="17" width="15.7109375" customWidth="1"/>
    <col min="18" max="18" width="15.7109375" style="115" customWidth="1"/>
    <col min="21" max="21" width="11.5703125" bestFit="1" customWidth="1"/>
    <col min="23" max="23" width="11.28515625" bestFit="1" customWidth="1"/>
  </cols>
  <sheetData>
    <row r="2" spans="4:18" ht="15.75" x14ac:dyDescent="0.25">
      <c r="D2" t="s">
        <v>585</v>
      </c>
      <c r="F2" s="179" t="s">
        <v>797</v>
      </c>
      <c r="G2" s="180"/>
      <c r="H2" s="180"/>
      <c r="I2" s="20"/>
      <c r="J2" s="20"/>
      <c r="M2"/>
      <c r="P2"/>
      <c r="R2"/>
    </row>
    <row r="3" spans="4:18" x14ac:dyDescent="0.25">
      <c r="I3" s="20"/>
      <c r="J3" s="20"/>
      <c r="M3"/>
      <c r="P3"/>
      <c r="R3"/>
    </row>
    <row r="4" spans="4:18" x14ac:dyDescent="0.25">
      <c r="D4" t="s">
        <v>586</v>
      </c>
      <c r="F4" s="157" t="s">
        <v>798</v>
      </c>
      <c r="G4" s="156"/>
      <c r="H4" s="156"/>
      <c r="I4" s="20"/>
      <c r="J4" s="20"/>
      <c r="M4"/>
      <c r="P4"/>
      <c r="R4"/>
    </row>
    <row r="5" spans="4:18" x14ac:dyDescent="0.25">
      <c r="D5" t="s">
        <v>587</v>
      </c>
      <c r="F5" s="155"/>
      <c r="G5" s="156"/>
      <c r="H5" s="156"/>
      <c r="I5" s="20"/>
      <c r="J5" s="20"/>
      <c r="M5"/>
      <c r="P5"/>
      <c r="R5"/>
    </row>
    <row r="6" spans="4:18" x14ac:dyDescent="0.25">
      <c r="D6" t="s">
        <v>611</v>
      </c>
      <c r="F6" s="155"/>
      <c r="G6" s="156"/>
      <c r="H6" s="156"/>
      <c r="I6" s="20"/>
      <c r="J6" s="20"/>
      <c r="M6"/>
      <c r="P6"/>
      <c r="R6"/>
    </row>
    <row r="7" spans="4:18" x14ac:dyDescent="0.25">
      <c r="F7"/>
      <c r="G7"/>
      <c r="H7"/>
      <c r="I7" s="20"/>
      <c r="J7" s="20"/>
      <c r="M7"/>
      <c r="P7"/>
      <c r="R7"/>
    </row>
    <row r="8" spans="4:18" x14ac:dyDescent="0.25">
      <c r="D8" t="s">
        <v>575</v>
      </c>
      <c r="F8" s="155" t="s">
        <v>749</v>
      </c>
      <c r="G8" s="156"/>
      <c r="H8" s="156"/>
      <c r="I8" s="20"/>
      <c r="J8" s="20"/>
      <c r="M8"/>
      <c r="P8"/>
      <c r="R8"/>
    </row>
    <row r="9" spans="4:18" x14ac:dyDescent="0.25">
      <c r="D9" t="s">
        <v>576</v>
      </c>
      <c r="F9" s="155" t="s">
        <v>746</v>
      </c>
      <c r="G9" s="156"/>
      <c r="H9" s="156"/>
      <c r="I9" s="20"/>
      <c r="J9" s="20"/>
      <c r="M9"/>
      <c r="P9"/>
      <c r="R9"/>
    </row>
    <row r="10" spans="4:18" x14ac:dyDescent="0.25">
      <c r="D10" t="s">
        <v>574</v>
      </c>
      <c r="F10" s="155" t="s">
        <v>750</v>
      </c>
      <c r="G10" s="156"/>
      <c r="H10" s="156"/>
      <c r="I10" s="20"/>
      <c r="J10" s="20"/>
      <c r="M10"/>
      <c r="P10"/>
      <c r="R10"/>
    </row>
    <row r="11" spans="4:18" x14ac:dyDescent="0.25">
      <c r="D11" t="s">
        <v>577</v>
      </c>
      <c r="F11" s="155">
        <v>1982</v>
      </c>
      <c r="G11" s="156"/>
      <c r="H11" s="156"/>
      <c r="I11" s="20"/>
      <c r="J11" s="20"/>
      <c r="M11"/>
      <c r="P11"/>
      <c r="R11"/>
    </row>
    <row r="12" spans="4:18" x14ac:dyDescent="0.25">
      <c r="D12" t="s">
        <v>751</v>
      </c>
      <c r="F12" s="157" t="s">
        <v>752</v>
      </c>
      <c r="G12" s="156"/>
      <c r="H12" s="156"/>
      <c r="I12" s="20"/>
      <c r="J12" s="20"/>
      <c r="M12"/>
      <c r="P12"/>
      <c r="R12"/>
    </row>
    <row r="13" spans="4:18" x14ac:dyDescent="0.25">
      <c r="I13" s="20"/>
      <c r="J13" s="20"/>
      <c r="M13"/>
      <c r="P13"/>
      <c r="R13"/>
    </row>
    <row r="14" spans="4:18" x14ac:dyDescent="0.25">
      <c r="D14" t="s">
        <v>745</v>
      </c>
      <c r="F14" s="155" t="s">
        <v>747</v>
      </c>
      <c r="G14" s="156"/>
      <c r="H14" s="156"/>
      <c r="I14" s="20"/>
      <c r="J14" s="20"/>
      <c r="M14"/>
      <c r="P14"/>
      <c r="R14"/>
    </row>
    <row r="15" spans="4:18" x14ac:dyDescent="0.25">
      <c r="D15" t="s">
        <v>744</v>
      </c>
      <c r="F15" s="155" t="s">
        <v>748</v>
      </c>
      <c r="G15" s="156"/>
      <c r="H15" s="156"/>
      <c r="I15" s="20"/>
      <c r="J15" s="20"/>
      <c r="M15"/>
      <c r="P15"/>
      <c r="R15"/>
    </row>
    <row r="16" spans="4:18" x14ac:dyDescent="0.25">
      <c r="D16" t="s">
        <v>383</v>
      </c>
      <c r="F16" s="155" t="s">
        <v>771</v>
      </c>
      <c r="G16" s="156"/>
      <c r="H16" s="156"/>
      <c r="I16" s="20"/>
      <c r="J16" s="20"/>
      <c r="M16"/>
      <c r="P16"/>
      <c r="R16"/>
    </row>
    <row r="17" spans="3:18" x14ac:dyDescent="0.25">
      <c r="F17"/>
      <c r="G17"/>
      <c r="H17" s="108"/>
      <c r="I17" s="20"/>
      <c r="J17" s="20"/>
      <c r="M17"/>
      <c r="P17"/>
      <c r="R17"/>
    </row>
    <row r="18" spans="3:18" x14ac:dyDescent="0.25">
      <c r="C18" t="s">
        <v>612</v>
      </c>
      <c r="F18" s="158" t="s">
        <v>155</v>
      </c>
      <c r="G18" s="159"/>
      <c r="H18" s="159"/>
      <c r="I18" s="20"/>
      <c r="J18" s="20"/>
      <c r="M18"/>
      <c r="P18"/>
      <c r="R18"/>
    </row>
    <row r="19" spans="3:18" x14ac:dyDescent="0.25">
      <c r="D19" t="s">
        <v>669</v>
      </c>
      <c r="F19" s="158" t="s">
        <v>756</v>
      </c>
      <c r="G19" s="159"/>
      <c r="H19" s="159"/>
      <c r="I19" s="20"/>
      <c r="J19" s="20"/>
      <c r="M19"/>
      <c r="P19"/>
      <c r="R19"/>
    </row>
    <row r="20" spans="3:18" x14ac:dyDescent="0.25">
      <c r="D20" t="s">
        <v>493</v>
      </c>
      <c r="F20" s="158" t="s">
        <v>757</v>
      </c>
      <c r="G20" s="159"/>
      <c r="H20" s="159"/>
      <c r="I20" s="20"/>
      <c r="J20" s="20"/>
      <c r="M20"/>
      <c r="P20"/>
      <c r="R20"/>
    </row>
    <row r="21" spans="3:18" x14ac:dyDescent="0.25">
      <c r="D21" t="s">
        <v>525</v>
      </c>
      <c r="F21" s="158" t="s">
        <v>758</v>
      </c>
      <c r="G21" s="159"/>
      <c r="H21" s="159"/>
      <c r="I21" s="20"/>
      <c r="J21" s="20"/>
      <c r="M21"/>
      <c r="P21"/>
      <c r="R21"/>
    </row>
    <row r="22" spans="3:18" x14ac:dyDescent="0.25">
      <c r="D22" t="s">
        <v>613</v>
      </c>
      <c r="F22" s="158" t="s">
        <v>759</v>
      </c>
      <c r="G22" s="159"/>
      <c r="H22" s="159"/>
      <c r="I22" s="20"/>
      <c r="J22" s="20"/>
      <c r="M22"/>
      <c r="P22"/>
      <c r="R22"/>
    </row>
    <row r="23" spans="3:18" x14ac:dyDescent="0.25">
      <c r="D23" t="s">
        <v>615</v>
      </c>
      <c r="F23" s="158" t="s">
        <v>760</v>
      </c>
      <c r="G23" s="159"/>
      <c r="H23" s="159"/>
      <c r="I23" s="20"/>
      <c r="J23" s="20"/>
      <c r="M23"/>
      <c r="P23"/>
      <c r="R23"/>
    </row>
    <row r="24" spans="3:18" x14ac:dyDescent="0.25">
      <c r="D24" t="s">
        <v>616</v>
      </c>
      <c r="F24" s="158" t="s">
        <v>762</v>
      </c>
      <c r="G24" s="159"/>
      <c r="H24" s="159"/>
      <c r="I24" s="20"/>
      <c r="J24" s="20"/>
      <c r="M24"/>
      <c r="P24"/>
      <c r="R24"/>
    </row>
    <row r="25" spans="3:18" x14ac:dyDescent="0.25">
      <c r="D25" t="s">
        <v>761</v>
      </c>
      <c r="F25" s="178"/>
      <c r="G25" s="178"/>
      <c r="H25" s="178"/>
      <c r="I25" s="20"/>
      <c r="J25" s="20"/>
      <c r="M25"/>
      <c r="P25"/>
      <c r="R25"/>
    </row>
    <row r="26" spans="3:18" x14ac:dyDescent="0.25">
      <c r="I26" s="20"/>
      <c r="J26" s="20"/>
      <c r="M26"/>
      <c r="P26"/>
      <c r="R26"/>
    </row>
    <row r="27" spans="3:18" x14ac:dyDescent="0.25">
      <c r="C27" t="s">
        <v>579</v>
      </c>
      <c r="I27" s="20"/>
      <c r="J27" s="20"/>
      <c r="M27"/>
      <c r="P27"/>
      <c r="R27"/>
    </row>
    <row r="28" spans="3:18" x14ac:dyDescent="0.25">
      <c r="D28" t="s">
        <v>755</v>
      </c>
      <c r="F28" s="146">
        <v>42</v>
      </c>
      <c r="G28" s="118" t="s">
        <v>646</v>
      </c>
      <c r="I28" s="20"/>
      <c r="J28" s="20"/>
      <c r="M28"/>
      <c r="P28"/>
      <c r="R28"/>
    </row>
    <row r="29" spans="3:18" x14ac:dyDescent="0.25">
      <c r="D29" t="s">
        <v>754</v>
      </c>
      <c r="F29" s="146">
        <v>12.8</v>
      </c>
      <c r="G29" t="s">
        <v>646</v>
      </c>
      <c r="I29" s="20"/>
      <c r="J29" s="20"/>
      <c r="M29"/>
      <c r="P29"/>
      <c r="R29"/>
    </row>
    <row r="30" spans="3:18" x14ac:dyDescent="0.25">
      <c r="D30" t="s">
        <v>796</v>
      </c>
      <c r="F30" s="146">
        <v>5.5</v>
      </c>
      <c r="G30" s="146">
        <v>5.5</v>
      </c>
      <c r="H30" s="1" t="s">
        <v>646</v>
      </c>
      <c r="I30" s="20"/>
      <c r="J30" s="20"/>
      <c r="M30"/>
      <c r="P30"/>
      <c r="R30"/>
    </row>
    <row r="31" spans="3:18" x14ac:dyDescent="0.25">
      <c r="D31" t="s">
        <v>753</v>
      </c>
      <c r="F31" s="145">
        <v>14500</v>
      </c>
      <c r="G31" t="s">
        <v>647</v>
      </c>
      <c r="I31" s="20"/>
      <c r="J31" s="20"/>
      <c r="M31"/>
      <c r="P31"/>
      <c r="R31"/>
    </row>
    <row r="32" spans="3:18" x14ac:dyDescent="0.25">
      <c r="D32" t="s">
        <v>764</v>
      </c>
      <c r="F32" s="145">
        <v>380</v>
      </c>
      <c r="G32" t="s">
        <v>763</v>
      </c>
      <c r="I32" s="20"/>
      <c r="J32" s="20"/>
      <c r="M32"/>
      <c r="P32"/>
      <c r="R32"/>
    </row>
    <row r="33" spans="3:18" x14ac:dyDescent="0.25">
      <c r="D33" t="s">
        <v>765</v>
      </c>
      <c r="F33" s="145">
        <v>500</v>
      </c>
      <c r="G33" t="s">
        <v>763</v>
      </c>
      <c r="I33" s="20"/>
      <c r="J33" s="20"/>
      <c r="M33"/>
      <c r="P33"/>
      <c r="R33"/>
    </row>
    <row r="34" spans="3:18" x14ac:dyDescent="0.25">
      <c r="D34" t="s">
        <v>770</v>
      </c>
      <c r="F34" s="145">
        <v>60</v>
      </c>
      <c r="G34" t="s">
        <v>769</v>
      </c>
      <c r="I34" s="20"/>
      <c r="J34" s="20"/>
      <c r="M34"/>
      <c r="P34"/>
      <c r="R34"/>
    </row>
    <row r="35" spans="3:18" x14ac:dyDescent="0.25">
      <c r="I35" s="20"/>
      <c r="J35" s="20"/>
      <c r="M35"/>
      <c r="P35"/>
      <c r="R35"/>
    </row>
    <row r="36" spans="3:18" x14ac:dyDescent="0.25">
      <c r="C36" t="s">
        <v>578</v>
      </c>
      <c r="I36" s="20"/>
      <c r="J36" s="20"/>
      <c r="M36"/>
      <c r="P36"/>
      <c r="R36"/>
    </row>
    <row r="37" spans="3:18" x14ac:dyDescent="0.25">
      <c r="D37" t="s">
        <v>580</v>
      </c>
      <c r="F37" s="147">
        <v>13.8</v>
      </c>
      <c r="I37" s="20"/>
      <c r="J37" s="20"/>
      <c r="M37"/>
      <c r="P37"/>
      <c r="R37"/>
    </row>
    <row r="38" spans="3:18" x14ac:dyDescent="0.25">
      <c r="D38" t="s">
        <v>608</v>
      </c>
      <c r="F38" s="147">
        <v>363</v>
      </c>
      <c r="I38" s="20"/>
      <c r="J38" s="20"/>
      <c r="M38"/>
      <c r="P38"/>
      <c r="R38"/>
    </row>
    <row r="39" spans="3:18" x14ac:dyDescent="0.25">
      <c r="D39" t="s">
        <v>609</v>
      </c>
      <c r="F39" s="147">
        <v>45.4</v>
      </c>
      <c r="I39" s="20"/>
      <c r="J39" s="20"/>
      <c r="M39"/>
      <c r="P39"/>
      <c r="R39"/>
    </row>
    <row r="40" spans="3:18" x14ac:dyDescent="0.25">
      <c r="D40" t="s">
        <v>610</v>
      </c>
      <c r="F40" s="147">
        <v>1.62</v>
      </c>
      <c r="I40" s="20"/>
      <c r="J40" s="20"/>
      <c r="M40"/>
    </row>
    <row r="41" spans="3:18" x14ac:dyDescent="0.25">
      <c r="F41"/>
      <c r="I41" s="20"/>
      <c r="J41" s="20"/>
      <c r="M41"/>
    </row>
    <row r="42" spans="3:18" x14ac:dyDescent="0.25">
      <c r="C42" t="s">
        <v>663</v>
      </c>
      <c r="F42"/>
      <c r="G42" s="124"/>
      <c r="H42" s="124"/>
      <c r="M42"/>
      <c r="P42"/>
      <c r="Q42" s="129"/>
      <c r="R42" s="129"/>
    </row>
    <row r="43" spans="3:18" x14ac:dyDescent="0.25">
      <c r="D43" t="s">
        <v>635</v>
      </c>
      <c r="F43" s="148">
        <v>0.7</v>
      </c>
      <c r="G43" s="125"/>
      <c r="H43" s="125"/>
      <c r="M43"/>
      <c r="P43"/>
      <c r="Q43" s="130"/>
      <c r="R43" s="130"/>
    </row>
    <row r="44" spans="3:18" x14ac:dyDescent="0.25">
      <c r="D44" t="s">
        <v>636</v>
      </c>
      <c r="F44" s="148">
        <v>0.8</v>
      </c>
      <c r="G44" s="125"/>
      <c r="H44" s="125"/>
      <c r="M44"/>
      <c r="P44"/>
      <c r="Q44" s="130"/>
      <c r="R44" s="130"/>
    </row>
    <row r="45" spans="3:18" x14ac:dyDescent="0.25">
      <c r="D45" t="s">
        <v>637</v>
      </c>
      <c r="F45" s="148">
        <v>0.8</v>
      </c>
      <c r="G45" s="125"/>
      <c r="H45" s="125"/>
      <c r="M45"/>
      <c r="P45"/>
      <c r="Q45" s="130"/>
      <c r="R45" s="130"/>
    </row>
    <row r="46" spans="3:18" x14ac:dyDescent="0.25">
      <c r="D46" t="s">
        <v>650</v>
      </c>
      <c r="F46" s="148">
        <v>0.8</v>
      </c>
      <c r="G46" s="125"/>
      <c r="H46" s="125"/>
      <c r="M46"/>
      <c r="P46"/>
      <c r="Q46" s="130"/>
      <c r="R46" s="130"/>
    </row>
    <row r="47" spans="3:18" x14ac:dyDescent="0.25">
      <c r="D47" t="s">
        <v>639</v>
      </c>
      <c r="F47" s="148">
        <v>0.4</v>
      </c>
      <c r="G47" s="125"/>
      <c r="H47" s="125"/>
      <c r="M47"/>
      <c r="P47"/>
      <c r="Q47" s="130"/>
      <c r="R47" s="130"/>
    </row>
    <row r="48" spans="3:18" x14ac:dyDescent="0.25">
      <c r="D48" t="s">
        <v>578</v>
      </c>
      <c r="F48" s="148">
        <v>0.4</v>
      </c>
      <c r="G48" s="125"/>
      <c r="H48" s="125"/>
      <c r="M48"/>
      <c r="P48"/>
      <c r="Q48" s="130"/>
      <c r="R48" s="130"/>
    </row>
    <row r="49" spans="3:18" x14ac:dyDescent="0.25">
      <c r="D49" t="s">
        <v>638</v>
      </c>
      <c r="F49" s="148">
        <v>0.7</v>
      </c>
      <c r="G49" s="125"/>
      <c r="H49" s="125"/>
      <c r="M49"/>
      <c r="P49"/>
      <c r="Q49" s="130"/>
      <c r="R49" s="130"/>
    </row>
    <row r="50" spans="3:18" x14ac:dyDescent="0.25">
      <c r="D50" t="s">
        <v>640</v>
      </c>
      <c r="F50" s="148">
        <v>0.8</v>
      </c>
      <c r="G50" s="125"/>
      <c r="H50" s="125"/>
      <c r="M50"/>
      <c r="P50"/>
      <c r="Q50" s="130"/>
      <c r="R50" s="130"/>
    </row>
    <row r="51" spans="3:18" x14ac:dyDescent="0.25">
      <c r="D51" t="s">
        <v>642</v>
      </c>
      <c r="F51" s="148">
        <v>0.8</v>
      </c>
      <c r="G51" s="125"/>
      <c r="H51" s="125"/>
      <c r="M51"/>
      <c r="P51"/>
      <c r="Q51" s="130"/>
      <c r="R51" s="130"/>
    </row>
    <row r="52" spans="3:18" x14ac:dyDescent="0.25">
      <c r="D52" t="s">
        <v>643</v>
      </c>
      <c r="F52" s="148">
        <v>0.8</v>
      </c>
      <c r="G52" s="125"/>
      <c r="H52" s="125"/>
      <c r="M52"/>
      <c r="P52"/>
      <c r="Q52" s="130"/>
      <c r="R52" s="130"/>
    </row>
    <row r="53" spans="3:18" x14ac:dyDescent="0.25">
      <c r="D53" t="s">
        <v>668</v>
      </c>
      <c r="F53" s="148">
        <v>0.7</v>
      </c>
      <c r="G53" s="125"/>
      <c r="H53" s="125"/>
      <c r="M53"/>
      <c r="P53"/>
      <c r="Q53" s="130"/>
      <c r="R53" s="130"/>
    </row>
    <row r="54" spans="3:18" x14ac:dyDescent="0.25">
      <c r="D54" t="s">
        <v>666</v>
      </c>
      <c r="F54" s="148">
        <v>0.5</v>
      </c>
      <c r="G54" s="125"/>
      <c r="H54" s="125"/>
      <c r="M54"/>
      <c r="P54"/>
      <c r="Q54" s="130"/>
      <c r="R54" s="130"/>
    </row>
    <row r="55" spans="3:18" x14ac:dyDescent="0.25">
      <c r="D55" t="s">
        <v>641</v>
      </c>
      <c r="F55" s="148">
        <v>0.8</v>
      </c>
      <c r="G55" s="125"/>
      <c r="H55" s="125"/>
      <c r="M55"/>
      <c r="P55"/>
      <c r="Q55" s="130"/>
      <c r="R55" s="130"/>
    </row>
    <row r="56" spans="3:18" x14ac:dyDescent="0.25">
      <c r="D56" t="s">
        <v>644</v>
      </c>
      <c r="F56" s="148">
        <v>0.8</v>
      </c>
      <c r="G56" s="125"/>
      <c r="H56" s="125"/>
      <c r="M56"/>
      <c r="P56"/>
      <c r="Q56" s="130"/>
      <c r="R56" s="130"/>
    </row>
    <row r="57" spans="3:18" x14ac:dyDescent="0.25">
      <c r="F57"/>
      <c r="G57" s="126"/>
      <c r="H57" s="126"/>
      <c r="M57"/>
      <c r="O57" s="118"/>
      <c r="P57"/>
      <c r="Q57" s="128"/>
      <c r="R57" s="128"/>
    </row>
    <row r="58" spans="3:18" x14ac:dyDescent="0.25">
      <c r="C58" t="s">
        <v>664</v>
      </c>
      <c r="F58"/>
      <c r="G58" s="126"/>
      <c r="H58" s="126"/>
      <c r="M58"/>
      <c r="O58" s="118"/>
      <c r="P58" s="128"/>
      <c r="Q58" s="128"/>
      <c r="R58" s="128"/>
    </row>
    <row r="59" spans="3:18" x14ac:dyDescent="0.25">
      <c r="D59" t="s">
        <v>543</v>
      </c>
      <c r="F59" s="138">
        <f ca="1">CalculateScore(Parameters!$D$20:$D$34,$F$43:$F$56)</f>
        <v>7</v>
      </c>
      <c r="G59" s="126"/>
      <c r="H59" s="126"/>
      <c r="M59"/>
      <c r="O59" s="118"/>
      <c r="P59" s="128"/>
      <c r="Q59" s="128"/>
      <c r="R59" s="128"/>
    </row>
    <row r="60" spans="3:18" x14ac:dyDescent="0.25">
      <c r="D60" t="s">
        <v>665</v>
      </c>
      <c r="F60" s="138">
        <f ca="1">CalculateScore(Parameters!$E$20:$E$34,$F$43:$F$56)</f>
        <v>7.1428571428571459</v>
      </c>
      <c r="G60" s="126"/>
      <c r="H60" s="126"/>
      <c r="M60"/>
      <c r="O60" s="118"/>
      <c r="P60" s="128"/>
      <c r="Q60" s="128"/>
      <c r="R60" s="128"/>
    </row>
    <row r="61" spans="3:18" x14ac:dyDescent="0.25">
      <c r="D61" t="s">
        <v>578</v>
      </c>
      <c r="F61" s="138">
        <f ca="1">CalculateScore(Parameters!$F$20:$F$34,$F$43:$F$56)</f>
        <v>5.666666666666667</v>
      </c>
      <c r="G61" s="126"/>
      <c r="H61" s="126"/>
      <c r="M61"/>
      <c r="O61" s="118"/>
      <c r="P61" s="128"/>
      <c r="Q61" s="128"/>
      <c r="R61" s="128"/>
    </row>
    <row r="62" spans="3:18" x14ac:dyDescent="0.25">
      <c r="D62" t="s">
        <v>667</v>
      </c>
      <c r="F62" s="138">
        <f ca="1">CalculateScore(Parameters!$G$20:$G$34,$F$43:$F$56)</f>
        <v>7.2200000000000006</v>
      </c>
      <c r="G62" s="126"/>
      <c r="H62" s="126"/>
      <c r="M62"/>
      <c r="O62" s="118"/>
      <c r="P62" s="139"/>
      <c r="Q62" s="128"/>
      <c r="R62" s="128"/>
    </row>
    <row r="63" spans="3:18" x14ac:dyDescent="0.25">
      <c r="D63" t="s">
        <v>651</v>
      </c>
      <c r="F63" s="138">
        <f ca="1">CalculateScore(Parameters!$H$20:$H$34,$F$43:$F$56)</f>
        <v>7.481481481481481</v>
      </c>
      <c r="G63" s="126"/>
      <c r="H63" s="126"/>
      <c r="M63"/>
      <c r="O63" s="118"/>
      <c r="P63" s="128"/>
      <c r="Q63" s="128"/>
      <c r="R63" s="128"/>
    </row>
    <row r="64" spans="3:18" x14ac:dyDescent="0.25">
      <c r="F64" s="126"/>
      <c r="G64" s="126"/>
      <c r="H64" s="126"/>
      <c r="O64" s="118"/>
      <c r="P64" s="128"/>
      <c r="Q64" s="128"/>
      <c r="R64" s="128"/>
    </row>
    <row r="65" spans="2:18" x14ac:dyDescent="0.25">
      <c r="B65" s="109" t="s">
        <v>656</v>
      </c>
      <c r="C65" s="109"/>
      <c r="D65" s="109"/>
      <c r="E65" s="110"/>
      <c r="F65" s="111"/>
      <c r="G65" s="111"/>
      <c r="H65" s="111"/>
      <c r="I65" s="111"/>
      <c r="J65" s="111"/>
      <c r="M65" s="109" t="s">
        <v>656</v>
      </c>
      <c r="N65" s="109"/>
      <c r="O65" s="109"/>
      <c r="P65" s="109"/>
      <c r="Q65" s="109"/>
      <c r="R65" s="109"/>
    </row>
    <row r="67" spans="2:18" x14ac:dyDescent="0.25">
      <c r="D67" t="s">
        <v>654</v>
      </c>
      <c r="F67"/>
      <c r="G67"/>
      <c r="H67"/>
      <c r="J67"/>
      <c r="M67" s="120" t="str">
        <f>$D67</f>
        <v>Asking Price</v>
      </c>
      <c r="N67" s="134">
        <v>75000</v>
      </c>
      <c r="O67" s="118" t="s">
        <v>766</v>
      </c>
      <c r="P67" s="149">
        <v>45327</v>
      </c>
      <c r="Q67" s="176" t="s">
        <v>793</v>
      </c>
      <c r="R67" s="117">
        <f>N67- N67 * Parameters!D37</f>
        <v>67500</v>
      </c>
    </row>
    <row r="68" spans="2:18" x14ac:dyDescent="0.25">
      <c r="F68"/>
      <c r="G68"/>
      <c r="H68"/>
      <c r="J68"/>
      <c r="O68" s="118"/>
      <c r="P68" s="128"/>
      <c r="Q68" s="128"/>
      <c r="R68" s="128"/>
    </row>
    <row r="69" spans="2:18" x14ac:dyDescent="0.25">
      <c r="B69" s="109" t="s">
        <v>657</v>
      </c>
      <c r="C69" s="109"/>
      <c r="D69" s="109"/>
      <c r="E69" s="110"/>
      <c r="F69" s="111"/>
      <c r="G69" s="111"/>
      <c r="H69" s="111"/>
      <c r="I69" s="111"/>
      <c r="J69" s="111"/>
      <c r="M69" s="109" t="s">
        <v>657</v>
      </c>
      <c r="N69" s="109"/>
      <c r="O69" s="109"/>
      <c r="P69" s="109"/>
      <c r="Q69" s="109"/>
      <c r="R69" s="109"/>
    </row>
    <row r="71" spans="2:18" x14ac:dyDescent="0.25">
      <c r="D71" t="s">
        <v>655</v>
      </c>
      <c r="F71"/>
      <c r="G71"/>
      <c r="H71"/>
      <c r="J71"/>
      <c r="M71" s="120" t="str">
        <f>$D71</f>
        <v>Sales Price</v>
      </c>
      <c r="N71" s="133">
        <v>68000</v>
      </c>
      <c r="O71" s="118"/>
      <c r="Q71" s="176" t="s">
        <v>794</v>
      </c>
      <c r="R71" s="177">
        <f>(N67-N71)/(N67/100)/100</f>
        <v>9.3333333333333338E-2</v>
      </c>
    </row>
    <row r="73" spans="2:18" x14ac:dyDescent="0.25">
      <c r="D73" t="s">
        <v>658</v>
      </c>
      <c r="M73" s="120" t="str">
        <f>$D73</f>
        <v>Assesment Target</v>
      </c>
      <c r="N73" s="107" t="s">
        <v>568</v>
      </c>
    </row>
    <row r="74" spans="2:18" x14ac:dyDescent="0.25">
      <c r="D74" t="s">
        <v>648</v>
      </c>
      <c r="F74"/>
      <c r="G74"/>
      <c r="H74"/>
      <c r="J74"/>
      <c r="M74" s="120" t="str">
        <f>$D74</f>
        <v>Assesment</v>
      </c>
      <c r="N74" s="117">
        <f ca="1">Q$249</f>
        <v>4820</v>
      </c>
      <c r="O74" s="118"/>
      <c r="P74" s="128"/>
      <c r="Q74" s="128"/>
      <c r="R74" s="128"/>
    </row>
    <row r="75" spans="2:18" x14ac:dyDescent="0.25">
      <c r="D75" t="s">
        <v>567</v>
      </c>
      <c r="F75"/>
      <c r="G75"/>
      <c r="H75"/>
      <c r="J75"/>
      <c r="M75" s="120" t="str">
        <f>$D75</f>
        <v>Projects</v>
      </c>
      <c r="N75" s="117">
        <f ca="1">Q$267</f>
        <v>17410</v>
      </c>
      <c r="O75" s="118"/>
      <c r="P75" s="128"/>
      <c r="Q75" s="128"/>
      <c r="R75" s="128"/>
    </row>
    <row r="76" spans="2:18" x14ac:dyDescent="0.25">
      <c r="D76" t="s">
        <v>604</v>
      </c>
      <c r="G76"/>
      <c r="H76"/>
      <c r="J76"/>
      <c r="M76" s="120" t="str">
        <f>$D76</f>
        <v>Custom</v>
      </c>
      <c r="N76" s="133">
        <v>0</v>
      </c>
      <c r="O76" s="118"/>
      <c r="P76" s="128"/>
      <c r="Q76" s="128"/>
      <c r="R76"/>
    </row>
    <row r="77" spans="2:18" x14ac:dyDescent="0.25">
      <c r="F77"/>
      <c r="G77"/>
      <c r="H77"/>
      <c r="J77"/>
      <c r="N77" s="131"/>
      <c r="O77" s="118"/>
      <c r="P77" s="128"/>
      <c r="Q77" s="128"/>
      <c r="R77" s="128"/>
    </row>
    <row r="78" spans="2:18" x14ac:dyDescent="0.25">
      <c r="D78" t="s">
        <v>652</v>
      </c>
      <c r="F78" s="117">
        <v>25</v>
      </c>
      <c r="G78" t="s">
        <v>660</v>
      </c>
      <c r="H78"/>
      <c r="J78"/>
      <c r="M78" s="120" t="str">
        <f>$D78</f>
        <v>Hull Survey</v>
      </c>
      <c r="N78" s="117">
        <f>$F78*F$28</f>
        <v>1050</v>
      </c>
      <c r="O78" s="118"/>
      <c r="P78" s="128"/>
      <c r="Q78" s="128"/>
      <c r="R78" s="128"/>
    </row>
    <row r="79" spans="2:18" x14ac:dyDescent="0.25">
      <c r="D79" t="s">
        <v>661</v>
      </c>
      <c r="F79" s="117">
        <v>15</v>
      </c>
      <c r="G79" t="s">
        <v>660</v>
      </c>
      <c r="H79"/>
      <c r="J79"/>
      <c r="M79" s="120" t="str">
        <f t="shared" ref="M79:M82" si="0">$D79</f>
        <v>Haulout</v>
      </c>
      <c r="N79" s="117">
        <f>$F79*F$28</f>
        <v>630</v>
      </c>
      <c r="O79" s="118"/>
      <c r="P79" s="128"/>
      <c r="Q79" s="128"/>
    </row>
    <row r="80" spans="2:18" x14ac:dyDescent="0.25">
      <c r="D80" t="s">
        <v>653</v>
      </c>
      <c r="F80" s="117">
        <v>400</v>
      </c>
      <c r="G80" t="s">
        <v>662</v>
      </c>
      <c r="H80"/>
      <c r="J80"/>
      <c r="M80" s="120" t="str">
        <f t="shared" si="0"/>
        <v>Engine Survey</v>
      </c>
      <c r="N80" s="117">
        <f>$F80</f>
        <v>400</v>
      </c>
      <c r="O80" s="118"/>
      <c r="P80" s="128"/>
      <c r="Q80" s="128"/>
    </row>
    <row r="81" spans="2:18" x14ac:dyDescent="0.25">
      <c r="D81" t="s">
        <v>120</v>
      </c>
      <c r="F81" s="135">
        <v>0</v>
      </c>
      <c r="G81"/>
      <c r="H81"/>
      <c r="J81"/>
      <c r="M81" s="120" t="str">
        <f t="shared" si="0"/>
        <v>Sales Tax</v>
      </c>
      <c r="N81" s="117">
        <f>N71*$F81</f>
        <v>0</v>
      </c>
      <c r="O81" s="118"/>
      <c r="P81" s="128"/>
      <c r="Q81" s="128"/>
    </row>
    <row r="82" spans="2:18" x14ac:dyDescent="0.25">
      <c r="D82" t="s">
        <v>563</v>
      </c>
      <c r="F82" s="134">
        <v>1000</v>
      </c>
      <c r="G82"/>
      <c r="H82"/>
      <c r="J82"/>
      <c r="M82" s="120" t="str">
        <f t="shared" si="0"/>
        <v>Registration/MMSI</v>
      </c>
      <c r="N82" s="117">
        <f>$F82</f>
        <v>1000</v>
      </c>
      <c r="O82" s="118"/>
      <c r="P82" s="128"/>
      <c r="Q82" s="128"/>
    </row>
    <row r="83" spans="2:18" x14ac:dyDescent="0.25">
      <c r="D83" t="s">
        <v>659</v>
      </c>
      <c r="G83"/>
      <c r="H83"/>
      <c r="J83"/>
      <c r="M83" s="120" t="str">
        <f>$D83</f>
        <v>Agent Fees</v>
      </c>
      <c r="N83" s="133">
        <f>$F83</f>
        <v>0</v>
      </c>
      <c r="O83" s="118"/>
      <c r="P83" s="128"/>
      <c r="Q83" s="128"/>
    </row>
    <row r="84" spans="2:18" x14ac:dyDescent="0.25">
      <c r="D84" t="s">
        <v>784</v>
      </c>
      <c r="F84" s="134">
        <v>500</v>
      </c>
      <c r="G84" t="s">
        <v>786</v>
      </c>
      <c r="H84"/>
      <c r="J84"/>
      <c r="M84" s="120" t="str">
        <f>$D84</f>
        <v>First Year Liability Insurance</v>
      </c>
      <c r="N84" s="117">
        <f>$F84</f>
        <v>500</v>
      </c>
      <c r="O84" s="118"/>
      <c r="P84" s="128"/>
      <c r="Q84" s="128"/>
    </row>
    <row r="85" spans="2:18" x14ac:dyDescent="0.25">
      <c r="D85" t="s">
        <v>785</v>
      </c>
      <c r="F85" s="134">
        <v>0</v>
      </c>
      <c r="G85" s="175" t="s">
        <v>787</v>
      </c>
      <c r="H85"/>
      <c r="J85"/>
      <c r="M85" s="120" t="str">
        <f>$D85</f>
        <v>First Year Hull Insurance</v>
      </c>
      <c r="N85" s="117">
        <f>$F85</f>
        <v>0</v>
      </c>
      <c r="O85" s="118"/>
      <c r="P85" s="128"/>
      <c r="Q85" s="128"/>
    </row>
    <row r="86" spans="2:18" x14ac:dyDescent="0.25">
      <c r="F86"/>
      <c r="G86"/>
      <c r="H86"/>
      <c r="J86"/>
      <c r="N86" s="131"/>
      <c r="O86" s="118"/>
      <c r="P86" s="128"/>
      <c r="Q86" s="128"/>
    </row>
    <row r="87" spans="2:18" x14ac:dyDescent="0.25">
      <c r="F87"/>
      <c r="G87"/>
      <c r="H87"/>
      <c r="J87"/>
      <c r="N87" s="52">
        <f ca="1">SUM(N71:N86)</f>
        <v>93810</v>
      </c>
      <c r="O87" s="118"/>
      <c r="P87" s="174">
        <f ca="1">N87*0.87</f>
        <v>81614.7</v>
      </c>
      <c r="Q87" s="128"/>
    </row>
    <row r="88" spans="2:18" x14ac:dyDescent="0.25">
      <c r="F88" s="126"/>
      <c r="G88" s="126"/>
      <c r="H88" s="126"/>
      <c r="O88" s="118"/>
      <c r="Q88" s="127"/>
      <c r="R88" s="127"/>
    </row>
    <row r="89" spans="2:18" x14ac:dyDescent="0.25">
      <c r="B89" s="109" t="s">
        <v>795</v>
      </c>
      <c r="C89" s="109"/>
      <c r="D89" s="109"/>
      <c r="E89" s="110"/>
      <c r="F89" s="111"/>
      <c r="G89" s="111"/>
      <c r="H89" s="111"/>
      <c r="I89" s="111"/>
      <c r="J89" s="111"/>
      <c r="K89" s="111"/>
      <c r="L89" s="111"/>
      <c r="M89" s="109"/>
      <c r="N89" s="109"/>
      <c r="O89" s="109"/>
      <c r="P89" s="109"/>
      <c r="Q89" s="109"/>
      <c r="R89" s="109"/>
    </row>
    <row r="91" spans="2:18" x14ac:dyDescent="0.25">
      <c r="E91" s="104" t="s">
        <v>671</v>
      </c>
      <c r="F91" s="1" t="s">
        <v>675</v>
      </c>
      <c r="N91" s="107" t="s">
        <v>588</v>
      </c>
      <c r="P91" s="107" t="s">
        <v>782</v>
      </c>
      <c r="Q91" s="107" t="s">
        <v>780</v>
      </c>
    </row>
    <row r="92" spans="2:18" x14ac:dyDescent="0.25">
      <c r="E92" s="142" t="s">
        <v>674</v>
      </c>
      <c r="F92" s="1" t="s">
        <v>715</v>
      </c>
      <c r="N92" s="107" t="s">
        <v>589</v>
      </c>
      <c r="P92" s="107" t="s">
        <v>783</v>
      </c>
    </row>
    <row r="93" spans="2:18" x14ac:dyDescent="0.25">
      <c r="E93" s="141" t="s">
        <v>571</v>
      </c>
      <c r="F93" s="1" t="s">
        <v>716</v>
      </c>
      <c r="N93" s="107" t="s">
        <v>590</v>
      </c>
      <c r="P93" s="107" t="s">
        <v>772</v>
      </c>
    </row>
    <row r="94" spans="2:18" x14ac:dyDescent="0.25">
      <c r="E94" s="141" t="s">
        <v>593</v>
      </c>
      <c r="F94" s="1" t="s">
        <v>676</v>
      </c>
      <c r="N94" s="107" t="s">
        <v>628</v>
      </c>
      <c r="P94" s="107" t="s">
        <v>591</v>
      </c>
    </row>
    <row r="95" spans="2:18" x14ac:dyDescent="0.25">
      <c r="E95" s="141"/>
    </row>
    <row r="96" spans="2:18" x14ac:dyDescent="0.25">
      <c r="B96" t="s">
        <v>539</v>
      </c>
      <c r="F96" s="124" t="s">
        <v>193</v>
      </c>
      <c r="G96" s="124" t="s">
        <v>568</v>
      </c>
      <c r="H96" s="124" t="s">
        <v>392</v>
      </c>
      <c r="J96" s="108" t="s">
        <v>773</v>
      </c>
      <c r="M96" s="118" t="s">
        <v>670</v>
      </c>
      <c r="N96" s="108" t="s">
        <v>626</v>
      </c>
      <c r="O96" s="108" t="s">
        <v>633</v>
      </c>
      <c r="P96" s="108" t="s">
        <v>631</v>
      </c>
      <c r="Q96" s="108" t="s">
        <v>781</v>
      </c>
      <c r="R96" s="108" t="s">
        <v>629</v>
      </c>
    </row>
    <row r="97" spans="3:18" x14ac:dyDescent="0.25">
      <c r="C97" t="s">
        <v>520</v>
      </c>
    </row>
    <row r="98" spans="3:18" x14ac:dyDescent="0.25">
      <c r="D98" s="55" t="s">
        <v>539</v>
      </c>
      <c r="E98" s="105"/>
      <c r="F98" s="114" t="s">
        <v>569</v>
      </c>
      <c r="G98" s="114" t="s">
        <v>569</v>
      </c>
      <c r="H98" s="114" t="s">
        <v>569</v>
      </c>
      <c r="J98" s="112" t="s">
        <v>75</v>
      </c>
      <c r="M98" s="120" t="str">
        <f>$D98</f>
        <v>Structure</v>
      </c>
      <c r="N98" s="107" t="s">
        <v>589</v>
      </c>
      <c r="O98" s="116" t="s">
        <v>632</v>
      </c>
      <c r="P98" s="113">
        <v>0</v>
      </c>
      <c r="Q98" s="151">
        <f ca="1">CalculateInvestment($N$73,N98,O98,$F98:$J98,P98,$F$28,E98)</f>
        <v>0</v>
      </c>
      <c r="R98" s="107"/>
    </row>
    <row r="99" spans="3:18" x14ac:dyDescent="0.25">
      <c r="D99" s="55" t="s">
        <v>617</v>
      </c>
      <c r="E99" s="105" t="s">
        <v>671</v>
      </c>
      <c r="F99" s="101">
        <v>250</v>
      </c>
      <c r="G99" s="102">
        <v>200</v>
      </c>
      <c r="H99" s="103">
        <v>75</v>
      </c>
      <c r="J99" s="112" t="s">
        <v>75</v>
      </c>
      <c r="M99" s="120" t="str">
        <f t="shared" ref="M99:M161" si="1">$D99</f>
        <v>Gelcoat/Paint</v>
      </c>
      <c r="N99" s="107" t="s">
        <v>589</v>
      </c>
      <c r="O99" s="116" t="s">
        <v>632</v>
      </c>
      <c r="P99" s="113">
        <v>0</v>
      </c>
      <c r="Q99" s="151">
        <f ca="1">CalculateInvestmentPerFoot($N$73,N99,O99,$F99:$J99,P99,$F$28)</f>
        <v>0</v>
      </c>
      <c r="R99" s="107"/>
    </row>
    <row r="100" spans="3:18" x14ac:dyDescent="0.25">
      <c r="D100" s="55" t="s">
        <v>495</v>
      </c>
      <c r="E100" s="105" t="s">
        <v>671</v>
      </c>
      <c r="F100" s="101">
        <v>120</v>
      </c>
      <c r="G100" s="102">
        <v>50</v>
      </c>
      <c r="H100" s="103">
        <v>25</v>
      </c>
      <c r="J100" s="112" t="s">
        <v>75</v>
      </c>
      <c r="M100" s="120" t="str">
        <f t="shared" si="1"/>
        <v>Non-Skid Surfaces</v>
      </c>
      <c r="N100" s="107" t="s">
        <v>589</v>
      </c>
      <c r="O100" s="116" t="s">
        <v>632</v>
      </c>
      <c r="P100" s="113">
        <v>0</v>
      </c>
      <c r="Q100" s="151">
        <f ca="1">CalculateInvestmentPerFoot($N$73,N100,O100,$F100:$J100,P100,$F$28)</f>
        <v>0</v>
      </c>
      <c r="R100" s="107"/>
    </row>
    <row r="101" spans="3:18" x14ac:dyDescent="0.25">
      <c r="D101" s="55" t="s">
        <v>492</v>
      </c>
      <c r="E101" s="105" t="s">
        <v>671</v>
      </c>
      <c r="F101" s="101">
        <v>500</v>
      </c>
      <c r="G101" s="102">
        <v>125</v>
      </c>
      <c r="H101" s="103">
        <v>25</v>
      </c>
      <c r="J101" s="112" t="s">
        <v>75</v>
      </c>
      <c r="M101" s="120" t="str">
        <f t="shared" si="1"/>
        <v>Underwater Hull</v>
      </c>
      <c r="N101" s="107" t="s">
        <v>589</v>
      </c>
      <c r="O101" s="116" t="s">
        <v>632</v>
      </c>
      <c r="P101" s="113">
        <v>0</v>
      </c>
      <c r="Q101" s="151">
        <f ca="1">CalculateInvestmentPerFoot($N$73,N101,O101,$F101:$J101,P101,$F$28)</f>
        <v>0</v>
      </c>
      <c r="R101" s="107"/>
    </row>
    <row r="102" spans="3:18" x14ac:dyDescent="0.25">
      <c r="D102" s="55" t="s">
        <v>570</v>
      </c>
      <c r="E102" s="105" t="s">
        <v>671</v>
      </c>
      <c r="F102" s="101">
        <v>75</v>
      </c>
      <c r="G102" s="102">
        <v>40</v>
      </c>
      <c r="H102" s="103">
        <v>25</v>
      </c>
      <c r="J102" s="112" t="s">
        <v>75</v>
      </c>
      <c r="M102" s="120" t="str">
        <f t="shared" si="1"/>
        <v>Antifouling</v>
      </c>
      <c r="N102" s="107" t="s">
        <v>628</v>
      </c>
      <c r="O102" s="116" t="s">
        <v>632</v>
      </c>
      <c r="P102" s="113">
        <v>0</v>
      </c>
      <c r="Q102" s="151">
        <f ca="1">CalculateInvestmentPerFoot($N$73,N102,O102,$F102:$J102,P102,$F$28)</f>
        <v>1680</v>
      </c>
      <c r="R102" s="107"/>
    </row>
    <row r="103" spans="3:18" x14ac:dyDescent="0.25">
      <c r="D103" s="55" t="s">
        <v>493</v>
      </c>
      <c r="E103" s="105"/>
      <c r="F103" s="101">
        <v>10000</v>
      </c>
      <c r="G103" s="102">
        <v>4000</v>
      </c>
      <c r="H103" s="103">
        <v>2500</v>
      </c>
      <c r="J103" s="112" t="s">
        <v>75</v>
      </c>
      <c r="M103" s="120" t="str">
        <f t="shared" si="1"/>
        <v>Keel</v>
      </c>
      <c r="N103" s="107" t="s">
        <v>589</v>
      </c>
      <c r="O103" s="116" t="s">
        <v>632</v>
      </c>
      <c r="P103" s="113">
        <v>0</v>
      </c>
      <c r="Q103" s="151">
        <f ca="1">CalculateInvestment($N$73,N103,O103,$F103:$J103,P103,$F$28,E103)</f>
        <v>0</v>
      </c>
      <c r="R103" s="107"/>
    </row>
    <row r="104" spans="3:18" x14ac:dyDescent="0.25">
      <c r="D104" s="55" t="s">
        <v>494</v>
      </c>
      <c r="E104" s="143" t="s">
        <v>674</v>
      </c>
      <c r="F104" s="101">
        <v>4000</v>
      </c>
      <c r="G104" s="102">
        <v>2500</v>
      </c>
      <c r="H104" s="103">
        <v>1600</v>
      </c>
      <c r="J104" s="112" t="s">
        <v>75</v>
      </c>
      <c r="M104" s="120" t="str">
        <f t="shared" si="1"/>
        <v>Through Hull Fittings and Seacocks</v>
      </c>
      <c r="N104" s="107" t="s">
        <v>588</v>
      </c>
      <c r="O104" s="116" t="s">
        <v>632</v>
      </c>
      <c r="P104" s="113">
        <v>0</v>
      </c>
      <c r="Q104" s="151" t="str">
        <f ca="1">CalculateInvestment($N$73,N104,O104,$F104:$J104,P104,$F$28,E104)</f>
        <v>REQUIRED</v>
      </c>
      <c r="R104" s="107"/>
    </row>
    <row r="105" spans="3:18" x14ac:dyDescent="0.25">
      <c r="D105" s="55" t="s">
        <v>508</v>
      </c>
      <c r="E105" s="143" t="s">
        <v>674</v>
      </c>
      <c r="F105" s="101">
        <v>6000</v>
      </c>
      <c r="G105" s="102">
        <v>5000</v>
      </c>
      <c r="H105" s="103">
        <v>4000</v>
      </c>
      <c r="M105" s="120" t="str">
        <f t="shared" si="1"/>
        <v>Bow Thruster</v>
      </c>
      <c r="N105" s="107" t="s">
        <v>588</v>
      </c>
      <c r="O105" s="116" t="s">
        <v>632</v>
      </c>
      <c r="P105" s="113">
        <v>0</v>
      </c>
      <c r="Q105" s="151">
        <f ca="1">CalculateInvestment($N$73,N105,O105,$F105:$J105,P105,$F$28,E105)</f>
        <v>0</v>
      </c>
      <c r="R105" s="107"/>
    </row>
    <row r="106" spans="3:18" x14ac:dyDescent="0.25">
      <c r="C106" t="s">
        <v>521</v>
      </c>
      <c r="F106"/>
      <c r="G106"/>
      <c r="H106"/>
      <c r="O106" s="108"/>
      <c r="P106"/>
      <c r="Q106" s="152"/>
      <c r="R106"/>
    </row>
    <row r="107" spans="3:18" x14ac:dyDescent="0.25">
      <c r="D107" s="55" t="s">
        <v>677</v>
      </c>
      <c r="E107" s="143" t="s">
        <v>674</v>
      </c>
      <c r="F107" s="101">
        <v>3000</v>
      </c>
      <c r="G107" s="102">
        <v>2500</v>
      </c>
      <c r="H107" s="103">
        <v>2000</v>
      </c>
      <c r="J107" s="112" t="s">
        <v>75</v>
      </c>
      <c r="M107" s="120" t="str">
        <f t="shared" si="1"/>
        <v>Ground Tackle →</v>
      </c>
      <c r="N107" s="107" t="s">
        <v>589</v>
      </c>
      <c r="O107" s="116" t="s">
        <v>632</v>
      </c>
      <c r="P107" s="113">
        <v>0</v>
      </c>
      <c r="Q107" s="151">
        <f ca="1">CalculateInvestment($N$73,N107,O107,$F107:$J107,P107,$F$28,E107)</f>
        <v>0</v>
      </c>
      <c r="R107" s="107"/>
    </row>
    <row r="108" spans="3:18" x14ac:dyDescent="0.25">
      <c r="D108" s="55" t="s">
        <v>678</v>
      </c>
      <c r="E108" s="106"/>
      <c r="F108" s="101">
        <v>3000</v>
      </c>
      <c r="G108" s="102">
        <v>2800</v>
      </c>
      <c r="H108" s="103">
        <v>2000</v>
      </c>
      <c r="J108" s="112" t="s">
        <v>75</v>
      </c>
      <c r="M108" s="120" t="str">
        <f t="shared" si="1"/>
        <v>Windlass →</v>
      </c>
      <c r="N108" s="107" t="s">
        <v>589</v>
      </c>
      <c r="O108" s="116" t="s">
        <v>632</v>
      </c>
      <c r="P108" s="113">
        <v>0</v>
      </c>
      <c r="Q108" s="151">
        <f ca="1">CalculateInvestment($N$73,N108,O108,$F108:$J108,P108,$F$28,E108)</f>
        <v>0</v>
      </c>
      <c r="R108" s="107"/>
    </row>
    <row r="109" spans="3:18" x14ac:dyDescent="0.25">
      <c r="D109" s="55" t="s">
        <v>509</v>
      </c>
      <c r="E109" s="105"/>
      <c r="F109" s="101">
        <v>400</v>
      </c>
      <c r="G109" s="102">
        <v>300</v>
      </c>
      <c r="H109" s="103">
        <v>250</v>
      </c>
      <c r="J109" s="112" t="s">
        <v>75</v>
      </c>
      <c r="M109" s="120" t="str">
        <f t="shared" si="1"/>
        <v>Mooring/Docking Lines</v>
      </c>
      <c r="N109" s="107" t="s">
        <v>589</v>
      </c>
      <c r="O109" s="116" t="s">
        <v>632</v>
      </c>
      <c r="P109" s="113">
        <v>0</v>
      </c>
      <c r="Q109" s="151">
        <f ca="1">CalculateInvestment($N$73,N109,O109,$F109:$J109,P109,$F$28,E109)</f>
        <v>0</v>
      </c>
      <c r="R109" s="107"/>
    </row>
    <row r="110" spans="3:18" x14ac:dyDescent="0.25">
      <c r="D110" s="55" t="s">
        <v>510</v>
      </c>
      <c r="E110" s="105"/>
      <c r="F110" s="101">
        <v>1000</v>
      </c>
      <c r="G110" s="102">
        <v>800</v>
      </c>
      <c r="H110" s="103">
        <v>600</v>
      </c>
      <c r="J110" s="112" t="s">
        <v>75</v>
      </c>
      <c r="M110" s="120" t="str">
        <f t="shared" si="1"/>
        <v>Fenders</v>
      </c>
      <c r="N110" s="107" t="s">
        <v>589</v>
      </c>
      <c r="O110" s="116" t="s">
        <v>632</v>
      </c>
      <c r="P110" s="113">
        <v>0</v>
      </c>
      <c r="Q110" s="151">
        <f ca="1">CalculateInvestment($N$73,N110,O110,$F110:$J110,P110,$F$28,E110)</f>
        <v>0</v>
      </c>
      <c r="R110" s="107"/>
    </row>
    <row r="111" spans="3:18" x14ac:dyDescent="0.25">
      <c r="C111" t="s">
        <v>522</v>
      </c>
      <c r="Q111" s="108"/>
    </row>
    <row r="112" spans="3:18" x14ac:dyDescent="0.25">
      <c r="D112" s="55" t="s">
        <v>572</v>
      </c>
      <c r="E112" s="105"/>
      <c r="F112" s="101">
        <v>0</v>
      </c>
      <c r="G112" s="102">
        <v>0</v>
      </c>
      <c r="H112" s="103">
        <v>0</v>
      </c>
      <c r="J112" s="112" t="s">
        <v>75</v>
      </c>
      <c r="M112" s="120" t="str">
        <f t="shared" si="1"/>
        <v>Mast, Spreaders And Boom</v>
      </c>
      <c r="N112" s="107" t="s">
        <v>588</v>
      </c>
      <c r="O112" s="116" t="s">
        <v>632</v>
      </c>
      <c r="P112" s="113">
        <v>0</v>
      </c>
      <c r="Q112" s="151" t="str">
        <f ca="1">CalculateInvestment($N$73,N112,O112,$F112:$J112,P112,$F$28,E112)</f>
        <v>REQUIRED</v>
      </c>
      <c r="R112" s="107"/>
    </row>
    <row r="113" spans="3:18" x14ac:dyDescent="0.25">
      <c r="D113" s="55" t="s">
        <v>679</v>
      </c>
      <c r="E113" s="143" t="s">
        <v>674</v>
      </c>
      <c r="F113" s="101">
        <v>5000</v>
      </c>
      <c r="G113" s="102">
        <v>4200</v>
      </c>
      <c r="H113" s="103">
        <v>3600</v>
      </c>
      <c r="J113" s="112" t="s">
        <v>75</v>
      </c>
      <c r="M113" s="120" t="str">
        <f t="shared" si="1"/>
        <v>Standing Rigging →</v>
      </c>
      <c r="N113" s="107" t="s">
        <v>588</v>
      </c>
      <c r="O113" s="116" t="s">
        <v>632</v>
      </c>
      <c r="P113" s="113">
        <v>0</v>
      </c>
      <c r="Q113" s="151" t="str">
        <f ca="1">CalculateInvestment($N$73,N113,O113,$F113:$J113,P113,$F$28,E113)</f>
        <v>REQUIRED</v>
      </c>
      <c r="R113" s="107"/>
    </row>
    <row r="114" spans="3:18" x14ac:dyDescent="0.25">
      <c r="D114" s="55" t="s">
        <v>680</v>
      </c>
      <c r="E114" s="143" t="s">
        <v>674</v>
      </c>
      <c r="F114" s="101">
        <v>3000</v>
      </c>
      <c r="G114" s="102">
        <v>2500</v>
      </c>
      <c r="H114" s="103">
        <v>2500</v>
      </c>
      <c r="J114" s="112" t="s">
        <v>75</v>
      </c>
      <c r="M114" s="120" t="str">
        <f t="shared" si="1"/>
        <v>Furling Systems →</v>
      </c>
      <c r="N114" s="107" t="s">
        <v>588</v>
      </c>
      <c r="O114" s="116" t="s">
        <v>632</v>
      </c>
      <c r="P114" s="113">
        <v>0</v>
      </c>
      <c r="Q114" s="151" t="str">
        <f ca="1">CalculateInvestment($N$73,N114,O114,$F114:$J114,P114,$F$28,E114)</f>
        <v>REQUIRED</v>
      </c>
      <c r="R114" s="107"/>
    </row>
    <row r="115" spans="3:18" x14ac:dyDescent="0.25">
      <c r="D115" s="55" t="s">
        <v>681</v>
      </c>
      <c r="E115" s="143" t="s">
        <v>674</v>
      </c>
      <c r="F115" s="101">
        <v>2000</v>
      </c>
      <c r="G115" s="102">
        <v>1500</v>
      </c>
      <c r="H115" s="103">
        <v>1500</v>
      </c>
      <c r="J115" s="112" t="s">
        <v>75</v>
      </c>
      <c r="M115" s="120" t="str">
        <f t="shared" si="1"/>
        <v>Running Rigging →</v>
      </c>
      <c r="N115" s="107" t="s">
        <v>588</v>
      </c>
      <c r="O115" s="116" t="s">
        <v>632</v>
      </c>
      <c r="P115" s="113">
        <v>0</v>
      </c>
      <c r="Q115" s="151" t="str">
        <f ca="1">CalculateInvestment($N$73,N115,O115,$F115:$J115,P115,$F$28,E115)</f>
        <v>REQUIRED</v>
      </c>
      <c r="R115" s="107"/>
    </row>
    <row r="116" spans="3:18" x14ac:dyDescent="0.25">
      <c r="D116" s="55" t="s">
        <v>682</v>
      </c>
      <c r="E116" s="143" t="s">
        <v>674</v>
      </c>
      <c r="F116" s="101">
        <v>11000</v>
      </c>
      <c r="G116" s="102">
        <v>8000</v>
      </c>
      <c r="H116" s="103">
        <v>8000</v>
      </c>
      <c r="J116" s="112" t="s">
        <v>75</v>
      </c>
      <c r="M116" s="120" t="str">
        <f t="shared" si="1"/>
        <v>Sails →</v>
      </c>
      <c r="N116" s="107" t="s">
        <v>588</v>
      </c>
      <c r="O116" s="116" t="s">
        <v>632</v>
      </c>
      <c r="P116" s="113">
        <v>0</v>
      </c>
      <c r="Q116" s="151" t="str">
        <f ca="1">CalculateInvestment($N$73,N116,O116,$F116:$J116,P116,$F$28,E116)</f>
        <v>REQUIRED</v>
      </c>
      <c r="R116" s="107"/>
    </row>
    <row r="117" spans="3:18" x14ac:dyDescent="0.25">
      <c r="D117" s="55" t="s">
        <v>573</v>
      </c>
      <c r="E117" s="143" t="s">
        <v>674</v>
      </c>
      <c r="F117" s="101">
        <v>2000</v>
      </c>
      <c r="G117" s="102">
        <v>1500</v>
      </c>
      <c r="H117" s="103">
        <v>1000</v>
      </c>
      <c r="J117" s="112" t="s">
        <v>75</v>
      </c>
      <c r="M117" s="120" t="str">
        <f t="shared" si="1"/>
        <v>Stackpack/Lazy Jacks</v>
      </c>
      <c r="N117" s="107" t="s">
        <v>588</v>
      </c>
      <c r="O117" s="116" t="s">
        <v>632</v>
      </c>
      <c r="P117" s="113">
        <v>0</v>
      </c>
      <c r="Q117" s="151" t="str">
        <f ca="1">CalculateInvestment($N$73,N117,O117,$F117:$J117,P117,$F$28,E117)</f>
        <v>REQUIRED</v>
      </c>
      <c r="R117" s="107"/>
    </row>
    <row r="118" spans="3:18" x14ac:dyDescent="0.25">
      <c r="D118" s="55" t="s">
        <v>683</v>
      </c>
      <c r="E118" s="143" t="s">
        <v>674</v>
      </c>
      <c r="F118" s="101">
        <v>2000</v>
      </c>
      <c r="G118" s="102">
        <v>1700</v>
      </c>
      <c r="H118" s="103">
        <v>1700</v>
      </c>
      <c r="J118" s="112" t="s">
        <v>75</v>
      </c>
      <c r="M118" s="120" t="str">
        <f t="shared" si="1"/>
        <v>Blocks, Tracks →</v>
      </c>
      <c r="N118" s="107" t="s">
        <v>588</v>
      </c>
      <c r="O118" s="116" t="s">
        <v>632</v>
      </c>
      <c r="P118" s="113">
        <v>0</v>
      </c>
      <c r="Q118" s="151" t="str">
        <f ca="1">CalculateInvestment($N$73,N118,O118,$F118:$J118,P118,$F$28,E118)</f>
        <v>REQUIRED</v>
      </c>
      <c r="R118" s="107"/>
    </row>
    <row r="119" spans="3:18" x14ac:dyDescent="0.25">
      <c r="D119" s="55" t="s">
        <v>564</v>
      </c>
      <c r="E119" s="143" t="s">
        <v>674</v>
      </c>
      <c r="F119" s="101">
        <v>6000</v>
      </c>
      <c r="G119" s="102">
        <v>4500</v>
      </c>
      <c r="H119" s="103">
        <v>3500</v>
      </c>
      <c r="J119" s="112" t="s">
        <v>75</v>
      </c>
      <c r="M119" s="120" t="str">
        <f t="shared" si="1"/>
        <v>Winches</v>
      </c>
      <c r="N119" s="107" t="s">
        <v>589</v>
      </c>
      <c r="O119" s="116" t="s">
        <v>632</v>
      </c>
      <c r="P119" s="113">
        <v>0</v>
      </c>
      <c r="Q119" s="151">
        <f ca="1">CalculateInvestment($N$73,N119,O119,$F119:$J119,P119,$F$28,E119)</f>
        <v>0</v>
      </c>
      <c r="R119" s="107"/>
    </row>
    <row r="120" spans="3:18" x14ac:dyDescent="0.25">
      <c r="C120" t="s">
        <v>523</v>
      </c>
      <c r="N120" s="107" t="s">
        <v>588</v>
      </c>
      <c r="O120" s="116" t="s">
        <v>632</v>
      </c>
      <c r="P120" s="113">
        <v>0</v>
      </c>
      <c r="Q120" s="151">
        <f ca="1">CalculateInvestment($N$73,N120,O120,$F120:$J120,P120,$F$28,E120)</f>
        <v>0</v>
      </c>
      <c r="R120" s="107"/>
    </row>
    <row r="121" spans="3:18" x14ac:dyDescent="0.25">
      <c r="D121" s="55" t="s">
        <v>539</v>
      </c>
      <c r="E121" s="105"/>
      <c r="F121" s="114" t="s">
        <v>569</v>
      </c>
      <c r="G121" s="114" t="s">
        <v>569</v>
      </c>
      <c r="H121" s="114" t="s">
        <v>569</v>
      </c>
      <c r="J121" s="112" t="s">
        <v>75</v>
      </c>
      <c r="M121" s="120" t="str">
        <f t="shared" si="1"/>
        <v>Structure</v>
      </c>
      <c r="N121" s="107" t="s">
        <v>588</v>
      </c>
      <c r="O121" s="116" t="s">
        <v>632</v>
      </c>
      <c r="P121" s="113">
        <v>0</v>
      </c>
      <c r="Q121" s="151" t="str">
        <f ca="1">CalculateInvestment($N$73,N121,O121,$F121:$J121,P121,$F$28,E121)</f>
        <v>REQUIRED</v>
      </c>
      <c r="R121" s="107"/>
    </row>
    <row r="122" spans="3:18" x14ac:dyDescent="0.25">
      <c r="D122" s="55" t="s">
        <v>540</v>
      </c>
      <c r="E122" s="105"/>
      <c r="F122" s="101">
        <v>1000</v>
      </c>
      <c r="G122" s="102">
        <v>5000</v>
      </c>
      <c r="H122" s="103">
        <v>3500</v>
      </c>
      <c r="J122" s="112" t="s">
        <v>75</v>
      </c>
      <c r="M122" s="120" t="str">
        <f t="shared" si="1"/>
        <v>Teak</v>
      </c>
      <c r="N122" s="107" t="s">
        <v>588</v>
      </c>
      <c r="O122" s="116" t="s">
        <v>632</v>
      </c>
      <c r="P122" s="113">
        <v>0</v>
      </c>
      <c r="Q122" s="151" t="str">
        <f ca="1">CalculateInvestment($N$73,N122,O122,$F122:$J122,P122,$F$28,E122)</f>
        <v>REQUIRED</v>
      </c>
      <c r="R122" s="107"/>
    </row>
    <row r="123" spans="3:18" x14ac:dyDescent="0.25">
      <c r="D123" s="55" t="s">
        <v>538</v>
      </c>
      <c r="E123" s="143" t="s">
        <v>674</v>
      </c>
      <c r="F123" s="101">
        <v>3000</v>
      </c>
      <c r="G123" s="102">
        <v>500</v>
      </c>
      <c r="H123" s="103">
        <v>100</v>
      </c>
      <c r="J123" s="112" t="s">
        <v>75</v>
      </c>
      <c r="M123" s="120" t="str">
        <f t="shared" si="1"/>
        <v>Brightwork</v>
      </c>
      <c r="N123" s="107" t="s">
        <v>588</v>
      </c>
      <c r="O123" s="116" t="s">
        <v>632</v>
      </c>
      <c r="P123" s="113">
        <v>0</v>
      </c>
      <c r="Q123" s="151" t="str">
        <f ca="1">CalculateInvestment($N$73,N123,O123,$F123:$J123,P123,$F$28,E123)</f>
        <v>REQUIRED</v>
      </c>
      <c r="R123" s="107"/>
    </row>
    <row r="124" spans="3:18" x14ac:dyDescent="0.25">
      <c r="D124" s="55" t="s">
        <v>512</v>
      </c>
      <c r="E124" s="143" t="s">
        <v>674</v>
      </c>
      <c r="F124" s="101">
        <v>3000</v>
      </c>
      <c r="G124" s="102">
        <v>1500</v>
      </c>
      <c r="H124" s="103">
        <v>400</v>
      </c>
      <c r="J124" s="112" t="s">
        <v>75</v>
      </c>
      <c r="M124" s="120" t="str">
        <f t="shared" si="1"/>
        <v>Lifelines, Stanchions</v>
      </c>
      <c r="N124" s="107" t="s">
        <v>588</v>
      </c>
      <c r="O124" s="116" t="s">
        <v>632</v>
      </c>
      <c r="P124" s="113">
        <v>0</v>
      </c>
      <c r="Q124" s="151" t="str">
        <f ca="1">CalculateInvestment($N$73,N124,O124,$F124:$J124,P124,$F$28,E124)</f>
        <v>REQUIRED</v>
      </c>
      <c r="R124" s="107"/>
    </row>
    <row r="125" spans="3:18" x14ac:dyDescent="0.25">
      <c r="D125" s="55" t="s">
        <v>513</v>
      </c>
      <c r="E125" s="143" t="s">
        <v>674</v>
      </c>
      <c r="F125" s="101">
        <v>2000</v>
      </c>
      <c r="G125" s="102">
        <v>1500</v>
      </c>
      <c r="H125" s="103">
        <v>1500</v>
      </c>
      <c r="J125" s="112" t="s">
        <v>75</v>
      </c>
      <c r="M125" s="120" t="str">
        <f t="shared" si="1"/>
        <v>Hatches, Portlights</v>
      </c>
      <c r="N125" s="107" t="s">
        <v>589</v>
      </c>
      <c r="O125" s="116" t="s">
        <v>632</v>
      </c>
      <c r="P125" s="113">
        <v>0</v>
      </c>
      <c r="Q125" s="151">
        <f ca="1">CalculateInvestment($N$73,N125,O125,$F125:$J125,P125,$F$28,E125)</f>
        <v>0</v>
      </c>
      <c r="R125" s="107"/>
    </row>
    <row r="126" spans="3:18" x14ac:dyDescent="0.25">
      <c r="D126" s="55" t="s">
        <v>684</v>
      </c>
      <c r="E126" s="106"/>
      <c r="F126" s="101">
        <v>2000</v>
      </c>
      <c r="G126" s="102">
        <v>1400</v>
      </c>
      <c r="H126" s="103">
        <v>1400</v>
      </c>
      <c r="J126" s="112" t="s">
        <v>75</v>
      </c>
      <c r="M126" s="120" t="str">
        <f t="shared" si="1"/>
        <v>Dodger →</v>
      </c>
      <c r="N126" s="107" t="s">
        <v>589</v>
      </c>
      <c r="O126" s="116" t="s">
        <v>632</v>
      </c>
      <c r="P126" s="113">
        <v>0</v>
      </c>
      <c r="Q126" s="151">
        <f ca="1">CalculateInvestment($N$73,N126,O126,$F126:$J126,P126,$F$28,E126)</f>
        <v>0</v>
      </c>
      <c r="R126" s="107"/>
    </row>
    <row r="127" spans="3:18" x14ac:dyDescent="0.25">
      <c r="D127" s="55" t="s">
        <v>685</v>
      </c>
      <c r="E127" s="106"/>
      <c r="F127" s="101">
        <v>1800</v>
      </c>
      <c r="G127" s="102">
        <v>1100</v>
      </c>
      <c r="H127" s="103">
        <v>1100</v>
      </c>
      <c r="J127" s="112" t="s">
        <v>75</v>
      </c>
      <c r="M127" s="120" t="str">
        <f t="shared" si="1"/>
        <v>Bimini/Hardtop →</v>
      </c>
      <c r="N127" s="107" t="s">
        <v>589</v>
      </c>
      <c r="O127" s="116" t="s">
        <v>632</v>
      </c>
      <c r="P127" s="113">
        <v>0</v>
      </c>
      <c r="Q127" s="151">
        <f ca="1">CalculateInvestment($N$73,N127,O127,$F127:$J127,P127,$F$28,E127)</f>
        <v>0</v>
      </c>
      <c r="R127" s="107"/>
    </row>
    <row r="128" spans="3:18" x14ac:dyDescent="0.25">
      <c r="D128" s="55" t="s">
        <v>686</v>
      </c>
      <c r="E128" s="106"/>
      <c r="F128" s="101">
        <v>5000</v>
      </c>
      <c r="G128" s="102">
        <v>4000</v>
      </c>
      <c r="H128" s="103">
        <v>4000</v>
      </c>
      <c r="M128" s="120" t="str">
        <f t="shared" si="1"/>
        <v>Solar Arch →</v>
      </c>
      <c r="N128" s="107" t="s">
        <v>589</v>
      </c>
      <c r="O128" s="116" t="s">
        <v>632</v>
      </c>
      <c r="P128" s="113">
        <v>0</v>
      </c>
      <c r="Q128" s="151">
        <f ca="1">CalculateInvestment($N$73,N128,O128,$F128:$J128,P128,$F$28,E128)</f>
        <v>0</v>
      </c>
      <c r="R128" s="107"/>
    </row>
    <row r="129" spans="2:18" x14ac:dyDescent="0.25">
      <c r="D129" s="55" t="s">
        <v>592</v>
      </c>
      <c r="E129" s="106"/>
      <c r="F129" s="101">
        <v>0</v>
      </c>
      <c r="G129" s="102">
        <v>0</v>
      </c>
      <c r="H129" s="103">
        <v>0</v>
      </c>
      <c r="M129" s="120" t="str">
        <f t="shared" si="1"/>
        <v>Davits</v>
      </c>
      <c r="N129" s="107" t="s">
        <v>589</v>
      </c>
      <c r="O129" s="116" t="s">
        <v>632</v>
      </c>
      <c r="P129" s="113">
        <v>0</v>
      </c>
      <c r="Q129" s="151">
        <f ca="1">CalculateInvestment($N$73,N129,O129,$F129:$J129,P129,$F$28,E129)</f>
        <v>0</v>
      </c>
      <c r="R129" s="107"/>
    </row>
    <row r="130" spans="2:18" x14ac:dyDescent="0.25">
      <c r="D130" s="55" t="s">
        <v>687</v>
      </c>
      <c r="E130" s="143" t="s">
        <v>674</v>
      </c>
      <c r="F130" s="101">
        <v>1500</v>
      </c>
      <c r="G130" s="102">
        <v>1000</v>
      </c>
      <c r="H130" s="103">
        <v>1000</v>
      </c>
      <c r="J130" s="112" t="s">
        <v>75</v>
      </c>
      <c r="M130" s="120" t="str">
        <f t="shared" si="1"/>
        <v>Awning →</v>
      </c>
      <c r="N130" s="107" t="s">
        <v>589</v>
      </c>
      <c r="O130" s="116" t="s">
        <v>632</v>
      </c>
      <c r="P130" s="113">
        <v>0</v>
      </c>
      <c r="Q130" s="151">
        <f ca="1">CalculateInvestment($N$73,N130,O130,$F130:$J130,P130,$F$28,E130)</f>
        <v>0</v>
      </c>
      <c r="R130" s="107"/>
    </row>
    <row r="131" spans="2:18" x14ac:dyDescent="0.25">
      <c r="D131" s="55" t="s">
        <v>511</v>
      </c>
      <c r="E131" s="105"/>
      <c r="F131" s="101">
        <v>2000</v>
      </c>
      <c r="G131" s="102">
        <v>400</v>
      </c>
      <c r="H131" s="103">
        <v>250</v>
      </c>
      <c r="M131" s="120" t="str">
        <f t="shared" si="1"/>
        <v>Cockpit Upholstery</v>
      </c>
      <c r="N131" s="107" t="s">
        <v>588</v>
      </c>
      <c r="O131" s="116" t="s">
        <v>632</v>
      </c>
      <c r="P131" s="113">
        <v>0</v>
      </c>
      <c r="Q131" s="151">
        <f ca="1">CalculateInvestment($N$73,N131,O131,$F131:$J131,P131,$F$28,E131)</f>
        <v>0</v>
      </c>
      <c r="R131" s="107"/>
    </row>
    <row r="132" spans="2:18" x14ac:dyDescent="0.25">
      <c r="D132" s="55" t="s">
        <v>514</v>
      </c>
      <c r="E132" s="105"/>
      <c r="F132" s="101">
        <v>0</v>
      </c>
      <c r="G132" s="102">
        <v>0</v>
      </c>
      <c r="H132" s="103">
        <v>0</v>
      </c>
      <c r="M132" s="120" t="str">
        <f t="shared" si="1"/>
        <v>Swim Platform</v>
      </c>
      <c r="N132" s="107" t="s">
        <v>588</v>
      </c>
      <c r="O132" s="116" t="s">
        <v>632</v>
      </c>
      <c r="P132" s="113">
        <v>0</v>
      </c>
      <c r="Q132" s="151">
        <f ca="1">CalculateInvestment($N$73,N132,O132,$F132:$J132,P132,$F$28,E132)</f>
        <v>0</v>
      </c>
      <c r="R132" s="107"/>
    </row>
    <row r="133" spans="2:18" x14ac:dyDescent="0.25">
      <c r="Q133" s="108"/>
    </row>
    <row r="134" spans="2:18" x14ac:dyDescent="0.25">
      <c r="B134" t="s">
        <v>31</v>
      </c>
      <c r="Q134" s="108"/>
    </row>
    <row r="135" spans="2:18" x14ac:dyDescent="0.25">
      <c r="C135" t="s">
        <v>524</v>
      </c>
      <c r="Q135" s="108"/>
    </row>
    <row r="136" spans="2:18" x14ac:dyDescent="0.25">
      <c r="D136" s="55" t="s">
        <v>525</v>
      </c>
      <c r="E136" s="143" t="s">
        <v>674</v>
      </c>
      <c r="F136" s="101">
        <v>6000</v>
      </c>
      <c r="G136" s="102">
        <v>4000</v>
      </c>
      <c r="H136" s="103">
        <v>2000</v>
      </c>
      <c r="J136" s="112" t="s">
        <v>75</v>
      </c>
      <c r="M136" s="120" t="str">
        <f t="shared" si="1"/>
        <v>Rudder</v>
      </c>
      <c r="N136" s="107" t="s">
        <v>588</v>
      </c>
      <c r="O136" s="116" t="s">
        <v>632</v>
      </c>
      <c r="P136" s="113">
        <v>0</v>
      </c>
      <c r="Q136" s="151" t="str">
        <f ca="1">CalculateInvestment($N$73,N136,O136,$F136:$J136,P136,$F$28,E136)</f>
        <v>REQUIRED</v>
      </c>
      <c r="R136" s="107"/>
    </row>
    <row r="137" spans="2:18" x14ac:dyDescent="0.25">
      <c r="D137" s="55" t="s">
        <v>507</v>
      </c>
      <c r="E137" s="143" t="s">
        <v>674</v>
      </c>
      <c r="F137" s="101">
        <v>10000</v>
      </c>
      <c r="G137" s="102">
        <v>7000</v>
      </c>
      <c r="H137" s="103">
        <v>4000</v>
      </c>
      <c r="J137" s="112" t="s">
        <v>75</v>
      </c>
      <c r="M137" s="120" t="str">
        <f t="shared" si="1"/>
        <v>Steering System</v>
      </c>
      <c r="N137" s="107" t="s">
        <v>588</v>
      </c>
      <c r="O137" s="116" t="s">
        <v>632</v>
      </c>
      <c r="P137" s="113">
        <v>0</v>
      </c>
      <c r="Q137" s="151" t="str">
        <f ca="1">CalculateInvestment($N$73,N137,O137,$F137:$J137,P137,$F$28,E137)</f>
        <v>REQUIRED</v>
      </c>
      <c r="R137" s="107"/>
    </row>
    <row r="138" spans="2:18" x14ac:dyDescent="0.25">
      <c r="D138" s="55" t="s">
        <v>717</v>
      </c>
      <c r="E138" s="105"/>
      <c r="F138" s="101">
        <v>4000</v>
      </c>
      <c r="G138" s="102">
        <v>3000</v>
      </c>
      <c r="H138" s="103">
        <v>2000</v>
      </c>
      <c r="J138" s="112" t="s">
        <v>75</v>
      </c>
      <c r="M138" s="120" t="str">
        <f t="shared" si="1"/>
        <v>Pedestral/Wheel</v>
      </c>
      <c r="N138" s="107" t="s">
        <v>588</v>
      </c>
      <c r="O138" s="116" t="s">
        <v>632</v>
      </c>
      <c r="P138" s="113">
        <v>0</v>
      </c>
      <c r="Q138" s="151" t="str">
        <f ca="1">CalculateInvestment($N$73,N138,O138,$F138:$J138,P138,$F$28,E138)</f>
        <v>REQUIRED</v>
      </c>
      <c r="R138" s="107"/>
    </row>
    <row r="139" spans="2:18" x14ac:dyDescent="0.25">
      <c r="D139" s="55" t="s">
        <v>515</v>
      </c>
      <c r="E139" s="143" t="s">
        <v>674</v>
      </c>
      <c r="F139" s="101">
        <v>7000</v>
      </c>
      <c r="G139" s="102">
        <v>5000</v>
      </c>
      <c r="H139" s="103">
        <v>4000</v>
      </c>
      <c r="M139" s="120" t="str">
        <f t="shared" si="1"/>
        <v>Windwane</v>
      </c>
      <c r="N139" s="107" t="s">
        <v>780</v>
      </c>
      <c r="O139" s="116" t="s">
        <v>632</v>
      </c>
      <c r="P139" s="113">
        <v>0</v>
      </c>
      <c r="Q139" s="151">
        <f ca="1">CalculateInvestment($N$73,N139,O139,$F139:$J139,P139,$F$28,E139)</f>
        <v>0</v>
      </c>
      <c r="R139" s="107"/>
    </row>
    <row r="140" spans="2:18" x14ac:dyDescent="0.25">
      <c r="C140" t="s">
        <v>526</v>
      </c>
      <c r="Q140" s="108"/>
    </row>
    <row r="141" spans="2:18" x14ac:dyDescent="0.25">
      <c r="D141" s="55" t="s">
        <v>383</v>
      </c>
      <c r="E141" s="143" t="s">
        <v>674</v>
      </c>
      <c r="F141" s="101">
        <v>20000</v>
      </c>
      <c r="G141" s="102">
        <v>12000</v>
      </c>
      <c r="H141" s="103">
        <v>6000</v>
      </c>
      <c r="J141" s="112" t="s">
        <v>75</v>
      </c>
      <c r="M141" s="120" t="str">
        <f t="shared" si="1"/>
        <v>Engine</v>
      </c>
      <c r="N141" s="107" t="s">
        <v>589</v>
      </c>
      <c r="O141" s="116" t="s">
        <v>632</v>
      </c>
      <c r="P141" s="113">
        <v>0</v>
      </c>
      <c r="Q141" s="151">
        <f ca="1">CalculateInvestment($N$73,N141,O141,$F141:$J141,P141,$F$28,E141)</f>
        <v>0</v>
      </c>
      <c r="R141" s="107"/>
    </row>
    <row r="142" spans="2:18" x14ac:dyDescent="0.25">
      <c r="D142" s="55" t="s">
        <v>496</v>
      </c>
      <c r="E142" s="143" t="s">
        <v>674</v>
      </c>
      <c r="F142" s="101">
        <v>4500</v>
      </c>
      <c r="G142" s="102">
        <v>3500</v>
      </c>
      <c r="H142" s="103">
        <v>2500</v>
      </c>
      <c r="J142" s="112" t="s">
        <v>75</v>
      </c>
      <c r="M142" s="120" t="str">
        <f t="shared" si="1"/>
        <v>Transmission</v>
      </c>
      <c r="N142" s="107" t="s">
        <v>589</v>
      </c>
      <c r="O142" s="116" t="s">
        <v>632</v>
      </c>
      <c r="P142" s="113">
        <v>0</v>
      </c>
      <c r="Q142" s="151">
        <f ca="1">CalculateInvestment($N$73,N142,O142,$F142:$J142,P142,$F$28,E142)</f>
        <v>0</v>
      </c>
      <c r="R142" s="107"/>
    </row>
    <row r="143" spans="2:18" x14ac:dyDescent="0.25">
      <c r="D143" s="55" t="s">
        <v>718</v>
      </c>
      <c r="E143" s="143" t="s">
        <v>674</v>
      </c>
      <c r="F143" s="101">
        <v>2500</v>
      </c>
      <c r="G143" s="102">
        <v>1500</v>
      </c>
      <c r="H143" s="103">
        <v>1000</v>
      </c>
      <c r="J143" s="112" t="s">
        <v>75</v>
      </c>
      <c r="M143" s="120" t="str">
        <f t="shared" si="1"/>
        <v>Prop Shaft, Packing, Cutlass Bearing</v>
      </c>
      <c r="N143" s="107" t="s">
        <v>588</v>
      </c>
      <c r="O143" s="116" t="s">
        <v>632</v>
      </c>
      <c r="P143" s="113">
        <v>0</v>
      </c>
      <c r="Q143" s="151" t="str">
        <f ca="1">CalculateInvestment($N$73,N143,O143,$F143:$J143,P143,$F$28,E143)</f>
        <v>REQUIRED</v>
      </c>
      <c r="R143" s="107"/>
    </row>
    <row r="144" spans="2:18" x14ac:dyDescent="0.25">
      <c r="D144" s="55" t="s">
        <v>389</v>
      </c>
      <c r="E144" s="143" t="s">
        <v>674</v>
      </c>
      <c r="F144" s="101">
        <v>4000</v>
      </c>
      <c r="G144" s="102">
        <v>1000</v>
      </c>
      <c r="H144" s="103">
        <v>600</v>
      </c>
      <c r="J144" s="112" t="s">
        <v>75</v>
      </c>
      <c r="M144" s="120" t="str">
        <f t="shared" si="1"/>
        <v>Propeller</v>
      </c>
      <c r="N144" s="107" t="s">
        <v>588</v>
      </c>
      <c r="O144" s="116" t="s">
        <v>632</v>
      </c>
      <c r="P144" s="113">
        <v>0</v>
      </c>
      <c r="Q144" s="151" t="str">
        <f ca="1">CalculateInvestment($N$73,N144,O144,$F144:$J144,P144,$F$28,E144)</f>
        <v>REQUIRED</v>
      </c>
      <c r="R144" s="107"/>
    </row>
    <row r="145" spans="3:18" x14ac:dyDescent="0.25">
      <c r="D145" s="55" t="s">
        <v>506</v>
      </c>
      <c r="E145" s="143" t="s">
        <v>674</v>
      </c>
      <c r="F145" s="101">
        <v>3500</v>
      </c>
      <c r="G145" s="102">
        <v>2500</v>
      </c>
      <c r="H145" s="103">
        <v>1500</v>
      </c>
      <c r="J145" s="112" t="s">
        <v>75</v>
      </c>
      <c r="M145" s="120" t="str">
        <f t="shared" si="1"/>
        <v>Engine Exhaust System</v>
      </c>
      <c r="N145" s="107" t="s">
        <v>588</v>
      </c>
      <c r="O145" s="116" t="s">
        <v>632</v>
      </c>
      <c r="P145" s="113">
        <v>0</v>
      </c>
      <c r="Q145" s="151" t="str">
        <f ca="1">CalculateInvestment($N$73,N145,O145,$F145:$J145,P145,$F$28,E145)</f>
        <v>REQUIRED</v>
      </c>
      <c r="R145" s="107"/>
    </row>
    <row r="146" spans="3:18" x14ac:dyDescent="0.25">
      <c r="D146" s="55" t="s">
        <v>497</v>
      </c>
      <c r="E146" s="105"/>
      <c r="F146" s="101">
        <v>300</v>
      </c>
      <c r="G146" s="102">
        <v>200</v>
      </c>
      <c r="H146" s="103">
        <v>150</v>
      </c>
      <c r="J146" s="112" t="s">
        <v>75</v>
      </c>
      <c r="M146" s="120" t="str">
        <f t="shared" si="1"/>
        <v>Engine Start Battery</v>
      </c>
      <c r="N146" s="107" t="s">
        <v>588</v>
      </c>
      <c r="O146" s="116" t="s">
        <v>632</v>
      </c>
      <c r="P146" s="113">
        <v>0</v>
      </c>
      <c r="Q146" s="151" t="str">
        <f ca="1">CalculateInvestment($N$73,N146,O146,$F146:$J146,P146,$F$28,E146)</f>
        <v>REQUIRED</v>
      </c>
      <c r="R146" s="107"/>
    </row>
    <row r="147" spans="3:18" x14ac:dyDescent="0.25">
      <c r="D147" s="55" t="s">
        <v>499</v>
      </c>
      <c r="E147" s="105"/>
      <c r="F147" s="101">
        <v>2000</v>
      </c>
      <c r="G147" s="102">
        <v>1200</v>
      </c>
      <c r="H147" s="103">
        <v>600</v>
      </c>
      <c r="J147" s="112" t="s">
        <v>75</v>
      </c>
      <c r="M147" s="120" t="str">
        <f t="shared" si="1"/>
        <v>Engine Instruments</v>
      </c>
      <c r="N147" s="107" t="s">
        <v>589</v>
      </c>
      <c r="O147" s="116" t="s">
        <v>632</v>
      </c>
      <c r="P147" s="113">
        <v>0</v>
      </c>
      <c r="Q147" s="151">
        <f ca="1">CalculateInvestment($N$73,N147,O147,$F147:$J147,P147,$F$28,E147)</f>
        <v>0</v>
      </c>
      <c r="R147" s="107"/>
    </row>
    <row r="148" spans="3:18" x14ac:dyDescent="0.25">
      <c r="D148" s="55" t="s">
        <v>498</v>
      </c>
      <c r="E148" s="105"/>
      <c r="F148" s="101">
        <v>900</v>
      </c>
      <c r="G148" s="102">
        <v>500</v>
      </c>
      <c r="H148" s="103">
        <v>400</v>
      </c>
      <c r="J148" s="112" t="s">
        <v>75</v>
      </c>
      <c r="M148" s="120" t="str">
        <f t="shared" si="1"/>
        <v>Engine Controls</v>
      </c>
      <c r="N148" s="107" t="s">
        <v>589</v>
      </c>
      <c r="O148" s="116" t="s">
        <v>632</v>
      </c>
      <c r="P148" s="113">
        <v>0</v>
      </c>
      <c r="Q148" s="151">
        <f ca="1">CalculateInvestment($N$73,N148,O148,$F148:$J148,P148,$F$28,E148)</f>
        <v>0</v>
      </c>
      <c r="R148" s="107"/>
    </row>
    <row r="149" spans="3:18" x14ac:dyDescent="0.25">
      <c r="D149" s="55" t="s">
        <v>602</v>
      </c>
      <c r="E149" s="105"/>
      <c r="F149" s="101">
        <v>1500</v>
      </c>
      <c r="G149" s="102">
        <v>1000</v>
      </c>
      <c r="H149" s="103">
        <v>500</v>
      </c>
      <c r="J149" s="112" t="s">
        <v>75</v>
      </c>
      <c r="M149" s="120" t="str">
        <f t="shared" si="1"/>
        <v>Engine Ventilation</v>
      </c>
      <c r="N149" s="107" t="s">
        <v>588</v>
      </c>
      <c r="O149" s="116" t="s">
        <v>632</v>
      </c>
      <c r="P149" s="113">
        <v>0</v>
      </c>
      <c r="Q149" s="151" t="str">
        <f ca="1">CalculateInvestment($N$73,N149,O149,$F149:$J149,P149,$F$28,E149)</f>
        <v>REQUIRED</v>
      </c>
      <c r="R149" s="107"/>
    </row>
    <row r="150" spans="3:18" x14ac:dyDescent="0.25">
      <c r="C150" t="s">
        <v>505</v>
      </c>
      <c r="E150"/>
      <c r="F150"/>
      <c r="G150"/>
      <c r="H150"/>
      <c r="Q150" s="108"/>
    </row>
    <row r="151" spans="3:18" x14ac:dyDescent="0.25">
      <c r="D151" s="55" t="s">
        <v>505</v>
      </c>
      <c r="E151" s="105"/>
      <c r="F151" s="101">
        <v>15000</v>
      </c>
      <c r="G151" s="102">
        <v>10000</v>
      </c>
      <c r="H151" s="103">
        <v>7000</v>
      </c>
      <c r="M151" s="120" t="str">
        <f t="shared" si="1"/>
        <v>Generator</v>
      </c>
      <c r="N151" s="107" t="s">
        <v>588</v>
      </c>
      <c r="O151" s="116" t="s">
        <v>632</v>
      </c>
      <c r="P151" s="113">
        <v>0</v>
      </c>
      <c r="Q151" s="151">
        <f ca="1">CalculateInvestment($N$73,N151,O151,$F151:$J151,P151,$F$28,E151)</f>
        <v>0</v>
      </c>
      <c r="R151" s="107"/>
    </row>
    <row r="152" spans="3:18" x14ac:dyDescent="0.25">
      <c r="C152" t="s">
        <v>528</v>
      </c>
      <c r="Q152" s="108"/>
    </row>
    <row r="153" spans="3:18" x14ac:dyDescent="0.25">
      <c r="D153" s="55" t="s">
        <v>688</v>
      </c>
      <c r="E153" s="106"/>
      <c r="F153" s="101">
        <v>1000</v>
      </c>
      <c r="G153" s="102">
        <v>700</v>
      </c>
      <c r="H153" s="103">
        <v>600</v>
      </c>
      <c r="J153" s="112" t="s">
        <v>75</v>
      </c>
      <c r="M153" s="120" t="str">
        <f t="shared" si="1"/>
        <v>Shore Power Connection →</v>
      </c>
      <c r="N153" s="107" t="s">
        <v>588</v>
      </c>
      <c r="O153" s="116" t="s">
        <v>632</v>
      </c>
      <c r="P153" s="113">
        <v>0</v>
      </c>
      <c r="Q153" s="151" t="str">
        <f ca="1">CalculateInvestment($N$73,N153,O153,$F153:$J153,P153,$F$28,E153)</f>
        <v>REQUIRED</v>
      </c>
      <c r="R153" s="107"/>
    </row>
    <row r="154" spans="3:18" x14ac:dyDescent="0.25">
      <c r="D154" s="55" t="s">
        <v>719</v>
      </c>
      <c r="E154" s="106"/>
      <c r="F154" s="101">
        <v>2500</v>
      </c>
      <c r="G154" s="102">
        <v>1500</v>
      </c>
      <c r="H154" s="103">
        <v>800</v>
      </c>
      <c r="M154" s="120" t="str">
        <f t="shared" si="1"/>
        <v>AC Cabling, Fuses, Outlets, Switchboard</v>
      </c>
      <c r="N154" s="107" t="s">
        <v>588</v>
      </c>
      <c r="O154" s="116" t="s">
        <v>632</v>
      </c>
      <c r="P154" s="113">
        <v>0</v>
      </c>
      <c r="Q154" s="151">
        <f ca="1">CalculateInvestment($N$73,N154,O154,$F154:$J154,P154,$F$28,E154)</f>
        <v>0</v>
      </c>
      <c r="R154" s="107"/>
    </row>
    <row r="155" spans="3:18" x14ac:dyDescent="0.25">
      <c r="D155" s="55" t="s">
        <v>720</v>
      </c>
      <c r="E155" s="105"/>
      <c r="F155" s="101">
        <v>0</v>
      </c>
      <c r="G155" s="102">
        <v>0</v>
      </c>
      <c r="H155" s="103">
        <v>0</v>
      </c>
      <c r="J155" s="112" t="s">
        <v>75</v>
      </c>
      <c r="M155" s="120" t="str">
        <f t="shared" si="1"/>
        <v>Inverter 💡</v>
      </c>
      <c r="N155" s="107" t="s">
        <v>588</v>
      </c>
      <c r="O155" s="116" t="s">
        <v>632</v>
      </c>
      <c r="P155" s="113">
        <v>0</v>
      </c>
      <c r="Q155" s="151" t="str">
        <f ca="1">CalculateInvestment($N$73,N155,O155,$F155:$J155,P155,$F$28,E155)</f>
        <v>REQUIRED</v>
      </c>
      <c r="R155" s="107"/>
    </row>
    <row r="156" spans="3:18" x14ac:dyDescent="0.25">
      <c r="D156" s="55" t="s">
        <v>721</v>
      </c>
      <c r="E156" s="106"/>
      <c r="F156" s="101">
        <v>0</v>
      </c>
      <c r="G156" s="102">
        <v>0</v>
      </c>
      <c r="H156" s="103">
        <v>0</v>
      </c>
      <c r="J156" s="112" t="s">
        <v>75</v>
      </c>
      <c r="M156" s="120" t="str">
        <f t="shared" si="1"/>
        <v>AC Charger 💡</v>
      </c>
      <c r="N156" s="107" t="s">
        <v>588</v>
      </c>
      <c r="O156" s="116" t="s">
        <v>632</v>
      </c>
      <c r="P156" s="113">
        <v>0</v>
      </c>
      <c r="Q156" s="151" t="str">
        <f ca="1">CalculateInvestment($N$73,N156,O156,$F156:$J156,P156,$F$28,E156)</f>
        <v>REQUIRED</v>
      </c>
      <c r="R156" s="107"/>
    </row>
    <row r="157" spans="3:18" x14ac:dyDescent="0.25">
      <c r="C157" t="s">
        <v>527</v>
      </c>
      <c r="Q157" s="108"/>
    </row>
    <row r="158" spans="3:18" x14ac:dyDescent="0.25">
      <c r="D158" s="55" t="s">
        <v>689</v>
      </c>
      <c r="E158" s="106"/>
      <c r="F158" s="101">
        <v>0</v>
      </c>
      <c r="G158" s="102">
        <v>0</v>
      </c>
      <c r="H158" s="103">
        <v>0</v>
      </c>
      <c r="J158" s="112" t="s">
        <v>75</v>
      </c>
      <c r="M158" s="120" t="str">
        <f t="shared" si="1"/>
        <v>House Battery Bank 💡</v>
      </c>
      <c r="N158" s="107" t="s">
        <v>588</v>
      </c>
      <c r="O158" s="116" t="s">
        <v>632</v>
      </c>
      <c r="P158" s="113">
        <v>0</v>
      </c>
      <c r="Q158" s="151" t="str">
        <f ca="1">CalculateInvestment($N$73,N158,O158,$F158:$J158,P158,$F$28,E158)</f>
        <v>REQUIRED</v>
      </c>
      <c r="R158" s="107"/>
    </row>
    <row r="159" spans="3:18" x14ac:dyDescent="0.25">
      <c r="D159" s="55" t="s">
        <v>722</v>
      </c>
      <c r="E159" s="106"/>
      <c r="F159" s="101">
        <v>0</v>
      </c>
      <c r="G159" s="102">
        <v>0</v>
      </c>
      <c r="H159" s="103">
        <v>0</v>
      </c>
      <c r="J159" s="112" t="s">
        <v>75</v>
      </c>
      <c r="M159" s="120" t="str">
        <f t="shared" si="1"/>
        <v>Battery Monitoring 💡</v>
      </c>
      <c r="N159" s="107" t="s">
        <v>588</v>
      </c>
      <c r="O159" s="116" t="s">
        <v>632</v>
      </c>
      <c r="P159" s="113">
        <v>0</v>
      </c>
      <c r="Q159" s="151" t="str">
        <f ca="1">CalculateInvestment($N$73,N159,O159,$F159:$J159,P159,$F$28,E159)</f>
        <v>REQUIRED</v>
      </c>
      <c r="R159" s="107"/>
    </row>
    <row r="160" spans="3:18" x14ac:dyDescent="0.25">
      <c r="D160" s="55" t="s">
        <v>690</v>
      </c>
      <c r="E160" s="106"/>
      <c r="F160" s="101">
        <v>0</v>
      </c>
      <c r="G160" s="102">
        <v>0</v>
      </c>
      <c r="H160" s="103">
        <v>0</v>
      </c>
      <c r="J160" s="112" t="s">
        <v>75</v>
      </c>
      <c r="M160" s="120" t="str">
        <f t="shared" si="1"/>
        <v>Solar System 💡</v>
      </c>
      <c r="N160" s="107" t="s">
        <v>588</v>
      </c>
      <c r="O160" s="116" t="s">
        <v>632</v>
      </c>
      <c r="P160" s="113">
        <v>0</v>
      </c>
      <c r="Q160" s="151" t="str">
        <f ca="1">CalculateInvestment($N$73,N160,O160,$F160:$J160,P160,$F$28,E160)</f>
        <v>REQUIRED</v>
      </c>
      <c r="R160" s="107"/>
    </row>
    <row r="161" spans="3:18" x14ac:dyDescent="0.25">
      <c r="D161" s="55" t="s">
        <v>691</v>
      </c>
      <c r="E161" s="106"/>
      <c r="F161" s="101">
        <v>0</v>
      </c>
      <c r="G161" s="102">
        <v>0</v>
      </c>
      <c r="H161" s="103">
        <v>0</v>
      </c>
      <c r="J161" s="112" t="s">
        <v>75</v>
      </c>
      <c r="M161" s="120" t="str">
        <f t="shared" si="1"/>
        <v>Alternator Charging 💡</v>
      </c>
      <c r="N161" s="107" t="s">
        <v>588</v>
      </c>
      <c r="O161" s="116" t="s">
        <v>632</v>
      </c>
      <c r="P161" s="113">
        <v>0</v>
      </c>
      <c r="Q161" s="151" t="str">
        <f ca="1">CalculateInvestment($N$73,N161,O161,$F161:$J161,P161,$F$28,E161)</f>
        <v>REQUIRED</v>
      </c>
      <c r="R161" s="107"/>
    </row>
    <row r="162" spans="3:18" x14ac:dyDescent="0.25">
      <c r="D162" s="55" t="s">
        <v>67</v>
      </c>
      <c r="E162" s="105"/>
      <c r="F162" s="101">
        <v>3500</v>
      </c>
      <c r="G162" s="102">
        <v>2500</v>
      </c>
      <c r="H162" s="103">
        <v>1500</v>
      </c>
      <c r="M162" s="120" t="str">
        <f t="shared" ref="M162:M230" si="2">$D162</f>
        <v>Wind Generator</v>
      </c>
      <c r="N162" s="107" t="s">
        <v>588</v>
      </c>
      <c r="O162" s="116" t="s">
        <v>632</v>
      </c>
      <c r="P162" s="113">
        <v>0</v>
      </c>
      <c r="Q162" s="151">
        <f ca="1">CalculateInvestment($N$73,N162,O162,$F162:$J162,P162,$F$28,E162)</f>
        <v>0</v>
      </c>
      <c r="R162" s="107"/>
    </row>
    <row r="163" spans="3:18" x14ac:dyDescent="0.25">
      <c r="C163" t="s">
        <v>529</v>
      </c>
      <c r="Q163" s="108"/>
    </row>
    <row r="164" spans="3:18" x14ac:dyDescent="0.25">
      <c r="D164" s="55" t="s">
        <v>504</v>
      </c>
      <c r="E164" s="143" t="s">
        <v>674</v>
      </c>
      <c r="F164" s="101">
        <v>4000</v>
      </c>
      <c r="G164" s="102">
        <v>2500</v>
      </c>
      <c r="H164" s="103">
        <v>1500</v>
      </c>
      <c r="J164" s="112" t="s">
        <v>75</v>
      </c>
      <c r="M164" s="120" t="str">
        <f t="shared" si="2"/>
        <v>Electrical Wiring</v>
      </c>
      <c r="N164" s="107" t="s">
        <v>588</v>
      </c>
      <c r="O164" s="116" t="s">
        <v>632</v>
      </c>
      <c r="P164" s="113">
        <v>0</v>
      </c>
      <c r="Q164" s="151" t="str">
        <f ca="1">CalculateInvestment($N$73,N164,O164,$F164:$J164,P164,$F$28,E164)</f>
        <v>REQUIRED</v>
      </c>
      <c r="R164" s="107"/>
    </row>
    <row r="165" spans="3:18" x14ac:dyDescent="0.25">
      <c r="D165" s="55" t="s">
        <v>530</v>
      </c>
      <c r="E165" s="105"/>
      <c r="F165" s="101">
        <v>1500</v>
      </c>
      <c r="G165" s="102">
        <v>1000</v>
      </c>
      <c r="H165" s="103">
        <v>500</v>
      </c>
      <c r="J165" s="112" t="s">
        <v>75</v>
      </c>
      <c r="M165" s="120" t="str">
        <f t="shared" si="2"/>
        <v>DC Switchboard</v>
      </c>
      <c r="N165" s="107" t="s">
        <v>588</v>
      </c>
      <c r="O165" s="116" t="s">
        <v>632</v>
      </c>
      <c r="P165" s="113">
        <v>0</v>
      </c>
      <c r="Q165" s="151" t="str">
        <f ca="1">CalculateInvestment($N$73,N165,O165,$F165:$J165,P165,$F$28,E165)</f>
        <v>REQUIRED</v>
      </c>
      <c r="R165" s="107"/>
    </row>
    <row r="166" spans="3:18" x14ac:dyDescent="0.25">
      <c r="C166" t="s">
        <v>531</v>
      </c>
      <c r="Q166" s="108"/>
    </row>
    <row r="167" spans="3:18" x14ac:dyDescent="0.25">
      <c r="D167" s="55" t="s">
        <v>500</v>
      </c>
      <c r="E167" s="143" t="s">
        <v>674</v>
      </c>
      <c r="F167" s="101">
        <v>3000</v>
      </c>
      <c r="G167" s="102">
        <v>2000</v>
      </c>
      <c r="H167" s="103">
        <v>1000</v>
      </c>
      <c r="J167" s="112" t="s">
        <v>75</v>
      </c>
      <c r="M167" s="120" t="str">
        <f t="shared" si="2"/>
        <v>Fuel Tanks</v>
      </c>
      <c r="N167" s="107" t="s">
        <v>588</v>
      </c>
      <c r="O167" s="116" t="s">
        <v>632</v>
      </c>
      <c r="P167" s="113">
        <v>0</v>
      </c>
      <c r="Q167" s="151" t="str">
        <f ca="1">CalculateInvestment($N$73,N167,O167,$F167:$J167,P167,$F$28,E167)</f>
        <v>REQUIRED</v>
      </c>
      <c r="R167" s="107"/>
    </row>
    <row r="168" spans="3:18" x14ac:dyDescent="0.25">
      <c r="D168" s="55" t="s">
        <v>501</v>
      </c>
      <c r="E168" s="105"/>
      <c r="F168" s="101">
        <v>1000</v>
      </c>
      <c r="G168" s="102">
        <v>750</v>
      </c>
      <c r="H168" s="103">
        <v>400</v>
      </c>
      <c r="J168" s="112" t="s">
        <v>75</v>
      </c>
      <c r="M168" s="120" t="str">
        <f t="shared" si="2"/>
        <v>Fuel System (Lines, Filters)</v>
      </c>
      <c r="N168" s="107" t="s">
        <v>588</v>
      </c>
      <c r="O168" s="116" t="s">
        <v>632</v>
      </c>
      <c r="P168" s="113">
        <v>0</v>
      </c>
      <c r="Q168" s="151" t="str">
        <f ca="1">CalculateInvestment($N$73,N168,O168,$F168:$J168,P168,$F$28,E168)</f>
        <v>REQUIRED</v>
      </c>
      <c r="R168" s="107"/>
    </row>
    <row r="169" spans="3:18" x14ac:dyDescent="0.25">
      <c r="D169" s="55" t="s">
        <v>532</v>
      </c>
      <c r="E169" s="105"/>
      <c r="F169" s="101">
        <v>700</v>
      </c>
      <c r="G169" s="102">
        <v>400</v>
      </c>
      <c r="H169" s="103">
        <v>200</v>
      </c>
      <c r="J169" s="112" t="s">
        <v>75</v>
      </c>
      <c r="M169" s="120" t="str">
        <f t="shared" si="2"/>
        <v>Tank Monitoring</v>
      </c>
      <c r="N169" s="107" t="s">
        <v>588</v>
      </c>
      <c r="O169" s="116" t="s">
        <v>632</v>
      </c>
      <c r="P169" s="113">
        <v>0</v>
      </c>
      <c r="Q169" s="151" t="str">
        <f ca="1">CalculateInvestment($N$73,N169,O169,$F169:$J169,P169,$F$28,E169)</f>
        <v>REQUIRED</v>
      </c>
      <c r="R169" s="107"/>
    </row>
    <row r="170" spans="3:18" x14ac:dyDescent="0.25">
      <c r="D170" s="55" t="s">
        <v>533</v>
      </c>
      <c r="E170" s="105"/>
      <c r="F170" s="101">
        <v>3000</v>
      </c>
      <c r="G170" s="102">
        <v>2000</v>
      </c>
      <c r="H170" s="103">
        <v>1500</v>
      </c>
      <c r="M170" s="120" t="str">
        <f t="shared" si="2"/>
        <v>Diesel Polishing</v>
      </c>
      <c r="N170" s="107" t="s">
        <v>588</v>
      </c>
      <c r="O170" s="116" t="s">
        <v>632</v>
      </c>
      <c r="P170" s="113">
        <v>0</v>
      </c>
      <c r="Q170" s="151">
        <f ca="1">CalculateInvestment($N$73,N170,O170,$F170:$J170,P170,$F$28,E170)</f>
        <v>0</v>
      </c>
      <c r="R170" s="107"/>
    </row>
    <row r="171" spans="3:18" x14ac:dyDescent="0.25">
      <c r="D171" s="55" t="s">
        <v>779</v>
      </c>
      <c r="E171" s="105"/>
      <c r="F171" s="101">
        <v>400</v>
      </c>
      <c r="G171" s="102">
        <v>275</v>
      </c>
      <c r="H171" s="103">
        <v>200</v>
      </c>
      <c r="M171" s="120" t="str">
        <f t="shared" si="2"/>
        <v>Diesel Jerry Cans On Deck</v>
      </c>
      <c r="N171" s="107" t="s">
        <v>589</v>
      </c>
      <c r="O171" s="116" t="s">
        <v>632</v>
      </c>
      <c r="P171" s="113">
        <v>0</v>
      </c>
      <c r="Q171" s="151">
        <f ca="1">CalculateInvestment($N$73,N171,O171,$F171:$J171,P171,$F$28,E171)</f>
        <v>0</v>
      </c>
      <c r="R171" s="107"/>
    </row>
    <row r="172" spans="3:18" x14ac:dyDescent="0.25">
      <c r="C172" t="s">
        <v>534</v>
      </c>
      <c r="Q172" s="108"/>
    </row>
    <row r="173" spans="3:18" x14ac:dyDescent="0.25">
      <c r="D173" s="55" t="s">
        <v>502</v>
      </c>
      <c r="E173" s="143" t="s">
        <v>674</v>
      </c>
      <c r="F173" s="101">
        <v>1500</v>
      </c>
      <c r="G173" s="102">
        <v>1000</v>
      </c>
      <c r="H173" s="103">
        <v>500</v>
      </c>
      <c r="J173" s="112" t="s">
        <v>75</v>
      </c>
      <c r="M173" s="120" t="str">
        <f t="shared" si="2"/>
        <v>Fresh Water Tanks</v>
      </c>
      <c r="N173" s="107" t="s">
        <v>588</v>
      </c>
      <c r="O173" s="116" t="s">
        <v>632</v>
      </c>
      <c r="P173" s="113">
        <v>0</v>
      </c>
      <c r="Q173" s="151" t="str">
        <f ca="1">CalculateInvestment($N$73,N173,O173,$F173:$J173,P173,$F$28,E173)</f>
        <v>REQUIRED</v>
      </c>
      <c r="R173" s="107"/>
    </row>
    <row r="174" spans="3:18" x14ac:dyDescent="0.25">
      <c r="D174" s="55" t="s">
        <v>503</v>
      </c>
      <c r="E174" s="105"/>
      <c r="F174" s="101">
        <v>2500</v>
      </c>
      <c r="G174" s="102">
        <v>1250</v>
      </c>
      <c r="H174" s="103">
        <v>800</v>
      </c>
      <c r="J174" s="112" t="s">
        <v>75</v>
      </c>
      <c r="M174" s="120" t="str">
        <f t="shared" si="2"/>
        <v>Fresh Water System (Pump, Lines, Focets)</v>
      </c>
      <c r="N174" s="107" t="s">
        <v>588</v>
      </c>
      <c r="O174" s="116" t="s">
        <v>632</v>
      </c>
      <c r="P174" s="113">
        <v>0</v>
      </c>
      <c r="Q174" s="151" t="str">
        <f ca="1">CalculateInvestment($N$73,N174,O174,$F174:$J174,P174,$F$28,E174)</f>
        <v>REQUIRED</v>
      </c>
      <c r="R174" s="107"/>
    </row>
    <row r="175" spans="3:18" x14ac:dyDescent="0.25">
      <c r="D175" s="55" t="s">
        <v>723</v>
      </c>
      <c r="E175" s="105"/>
      <c r="F175" s="101">
        <v>2000</v>
      </c>
      <c r="G175" s="102">
        <v>1000</v>
      </c>
      <c r="H175" s="103">
        <v>700</v>
      </c>
      <c r="M175" s="120" t="str">
        <f t="shared" si="2"/>
        <v>Hot Water Calorifier</v>
      </c>
      <c r="N175" s="107" t="s">
        <v>588</v>
      </c>
      <c r="O175" s="116" t="s">
        <v>632</v>
      </c>
      <c r="P175" s="113">
        <v>0</v>
      </c>
      <c r="Q175" s="151">
        <f ca="1">CalculateInvestment($N$73,N175,O175,$F175:$J175,P175,$F$28,E175)</f>
        <v>0</v>
      </c>
      <c r="R175" s="107"/>
    </row>
    <row r="176" spans="3:18" x14ac:dyDescent="0.25">
      <c r="C176" t="s">
        <v>32</v>
      </c>
      <c r="Q176" s="108"/>
    </row>
    <row r="177" spans="3:18" x14ac:dyDescent="0.25">
      <c r="D177" s="55" t="s">
        <v>778</v>
      </c>
      <c r="E177" s="105"/>
      <c r="F177" s="101">
        <v>700</v>
      </c>
      <c r="G177" s="102">
        <v>400</v>
      </c>
      <c r="H177" s="103">
        <v>200</v>
      </c>
      <c r="J177" s="112" t="s">
        <v>75</v>
      </c>
      <c r="M177" s="120" t="str">
        <f t="shared" si="2"/>
        <v>Compass</v>
      </c>
      <c r="N177" s="107" t="s">
        <v>588</v>
      </c>
      <c r="O177" s="116" t="s">
        <v>632</v>
      </c>
      <c r="P177" s="113">
        <v>0</v>
      </c>
      <c r="Q177" s="151" t="str">
        <f ca="1">CalculateInvestment($N$73,N177,O177,$F177:$J177,P177,$F$28,E177)</f>
        <v>REQUIRED</v>
      </c>
      <c r="R177" s="107"/>
    </row>
    <row r="178" spans="3:18" x14ac:dyDescent="0.25">
      <c r="D178" s="55" t="s">
        <v>724</v>
      </c>
      <c r="E178" s="105"/>
      <c r="F178" s="101">
        <v>1500</v>
      </c>
      <c r="G178" s="102">
        <v>1200</v>
      </c>
      <c r="H178" s="103">
        <v>800</v>
      </c>
      <c r="J178" s="112" t="s">
        <v>75</v>
      </c>
      <c r="M178" s="120" t="str">
        <f t="shared" si="2"/>
        <v>Instruments: Depth, Speed</v>
      </c>
      <c r="N178" s="107" t="s">
        <v>588</v>
      </c>
      <c r="O178" s="116" t="s">
        <v>632</v>
      </c>
      <c r="P178" s="113">
        <v>0</v>
      </c>
      <c r="Q178" s="151" t="str">
        <f ca="1">CalculateInvestment($N$73,N178,O178,$F178:$J178,P178,$F$28,E178)</f>
        <v>REQUIRED</v>
      </c>
      <c r="R178" s="107"/>
    </row>
    <row r="179" spans="3:18" x14ac:dyDescent="0.25">
      <c r="D179" s="55" t="s">
        <v>725</v>
      </c>
      <c r="E179" s="105"/>
      <c r="F179" s="101">
        <v>2000</v>
      </c>
      <c r="G179" s="102">
        <v>1200</v>
      </c>
      <c r="H179" s="103">
        <v>700</v>
      </c>
      <c r="J179" s="112" t="s">
        <v>75</v>
      </c>
      <c r="M179" s="120" t="str">
        <f t="shared" si="2"/>
        <v>Wind Instrument</v>
      </c>
      <c r="N179" s="107" t="s">
        <v>588</v>
      </c>
      <c r="O179" s="116" t="s">
        <v>632</v>
      </c>
      <c r="P179" s="113">
        <v>0</v>
      </c>
      <c r="Q179" s="151" t="str">
        <f ca="1">CalculateInvestment($N$73,N179,O179,$F179:$J179,P179,$F$28,E179)</f>
        <v>REQUIRED</v>
      </c>
      <c r="R179" s="107"/>
    </row>
    <row r="180" spans="3:18" x14ac:dyDescent="0.25">
      <c r="D180" s="55" t="s">
        <v>545</v>
      </c>
      <c r="E180" s="105"/>
      <c r="F180" s="101">
        <v>6000</v>
      </c>
      <c r="G180" s="102">
        <v>4000</v>
      </c>
      <c r="H180" s="103">
        <v>2500</v>
      </c>
      <c r="J180" s="112" t="s">
        <v>75</v>
      </c>
      <c r="M180" s="120" t="str">
        <f t="shared" si="2"/>
        <v>Autopilot</v>
      </c>
      <c r="N180" s="107" t="s">
        <v>588</v>
      </c>
      <c r="O180" s="116" t="s">
        <v>632</v>
      </c>
      <c r="P180" s="113">
        <v>0</v>
      </c>
      <c r="Q180" s="151" t="str">
        <f ca="1">CalculateInvestment($N$73,N180,O180,$F180:$J180,P180,$F$28,E180)</f>
        <v>REQUIRED</v>
      </c>
      <c r="R180" s="107"/>
    </row>
    <row r="181" spans="3:18" x14ac:dyDescent="0.25">
      <c r="D181" s="55" t="s">
        <v>788</v>
      </c>
      <c r="E181" s="105"/>
      <c r="F181" s="101">
        <v>2500</v>
      </c>
      <c r="G181" s="102">
        <v>1500</v>
      </c>
      <c r="H181" s="103">
        <v>1200</v>
      </c>
      <c r="J181" s="112" t="s">
        <v>75</v>
      </c>
      <c r="M181" s="120" t="str">
        <f t="shared" si="2"/>
        <v>Chartplotter Cockpit</v>
      </c>
      <c r="N181" s="107" t="s">
        <v>588</v>
      </c>
      <c r="O181" s="116" t="s">
        <v>632</v>
      </c>
      <c r="P181" s="113">
        <v>0</v>
      </c>
      <c r="Q181" s="151" t="str">
        <f ca="1">CalculateInvestment($N$73,N181,O181,$F181:$J181,P181,$F$28,E181)</f>
        <v>REQUIRED</v>
      </c>
      <c r="R181" s="107"/>
    </row>
    <row r="182" spans="3:18" x14ac:dyDescent="0.25">
      <c r="D182" s="55" t="s">
        <v>789</v>
      </c>
      <c r="E182" s="105"/>
      <c r="F182" s="101">
        <v>2500</v>
      </c>
      <c r="G182" s="102">
        <v>1500</v>
      </c>
      <c r="H182" s="103">
        <v>1200</v>
      </c>
      <c r="M182" s="120" t="str">
        <f t="shared" si="2"/>
        <v>Chartplotter Navdesk</v>
      </c>
      <c r="N182" s="107" t="s">
        <v>588</v>
      </c>
      <c r="O182" s="116" t="s">
        <v>632</v>
      </c>
      <c r="P182" s="113">
        <v>0</v>
      </c>
      <c r="Q182" s="151">
        <f ca="1">CalculateInvestment($N$73,N182,O182,$F182:$J182,P182,$F$28,E182)</f>
        <v>0</v>
      </c>
      <c r="R182" s="107"/>
    </row>
    <row r="183" spans="3:18" x14ac:dyDescent="0.25">
      <c r="D183" s="55" t="s">
        <v>548</v>
      </c>
      <c r="E183" s="105"/>
      <c r="F183" s="101">
        <v>4500</v>
      </c>
      <c r="G183" s="102">
        <v>3000</v>
      </c>
      <c r="H183" s="103">
        <v>2500</v>
      </c>
      <c r="M183" s="120" t="str">
        <f t="shared" si="2"/>
        <v>Radar</v>
      </c>
      <c r="N183" s="107" t="s">
        <v>589</v>
      </c>
      <c r="O183" s="116" t="s">
        <v>632</v>
      </c>
      <c r="P183" s="113">
        <v>0</v>
      </c>
      <c r="Q183" s="151">
        <f ca="1">CalculateInvestment($N$73,N183,O183,$F183:$J183,P183,$F$28,E183)</f>
        <v>0</v>
      </c>
      <c r="R183" s="107" t="s">
        <v>774</v>
      </c>
    </row>
    <row r="184" spans="3:18" x14ac:dyDescent="0.25">
      <c r="D184" s="55" t="s">
        <v>549</v>
      </c>
      <c r="E184" s="105"/>
      <c r="F184" s="101">
        <v>1000</v>
      </c>
      <c r="G184" s="102">
        <v>800</v>
      </c>
      <c r="H184" s="103">
        <v>400</v>
      </c>
      <c r="J184" s="112" t="s">
        <v>75</v>
      </c>
      <c r="M184" s="120" t="str">
        <f t="shared" si="2"/>
        <v>AIS</v>
      </c>
      <c r="N184" s="107" t="s">
        <v>588</v>
      </c>
      <c r="O184" s="116" t="s">
        <v>632</v>
      </c>
      <c r="P184" s="113">
        <v>0</v>
      </c>
      <c r="Q184" s="151" t="str">
        <f ca="1">CalculateInvestment($N$73,N184,O184,$F184:$J184,P184,$F$28,E184)</f>
        <v>REQUIRED</v>
      </c>
      <c r="R184" s="107"/>
    </row>
    <row r="185" spans="3:18" x14ac:dyDescent="0.25">
      <c r="C185" t="s">
        <v>776</v>
      </c>
      <c r="Q185" s="108"/>
    </row>
    <row r="186" spans="3:18" x14ac:dyDescent="0.25">
      <c r="D186" s="55" t="s">
        <v>547</v>
      </c>
      <c r="E186" s="105"/>
      <c r="F186" s="101">
        <v>800</v>
      </c>
      <c r="G186" s="102">
        <v>600</v>
      </c>
      <c r="H186" s="103">
        <v>400</v>
      </c>
      <c r="J186" s="112" t="s">
        <v>75</v>
      </c>
      <c r="M186" s="120" t="str">
        <f>$D186</f>
        <v>VHF</v>
      </c>
      <c r="N186" s="107" t="s">
        <v>589</v>
      </c>
      <c r="O186" s="116" t="s">
        <v>632</v>
      </c>
      <c r="P186" s="113">
        <v>0</v>
      </c>
      <c r="Q186" s="151">
        <f ca="1">CalculateInvestment($N$73,N186,O186,$F186:$J186,P186,$F$28,E186)</f>
        <v>0</v>
      </c>
      <c r="R186" s="107"/>
    </row>
    <row r="187" spans="3:18" x14ac:dyDescent="0.25">
      <c r="D187" s="55" t="s">
        <v>777</v>
      </c>
      <c r="E187" s="105"/>
      <c r="F187" s="101">
        <v>250</v>
      </c>
      <c r="G187" s="102">
        <v>150</v>
      </c>
      <c r="H187" s="103">
        <v>100</v>
      </c>
      <c r="J187" s="112" t="s">
        <v>75</v>
      </c>
      <c r="M187" s="120" t="str">
        <f>$D187</f>
        <v>Handheld VHF</v>
      </c>
      <c r="N187" s="107" t="s">
        <v>589</v>
      </c>
      <c r="O187" s="116" t="s">
        <v>632</v>
      </c>
      <c r="P187" s="113">
        <v>0</v>
      </c>
      <c r="Q187" s="151">
        <f ca="1">CalculateInvestment($N$73,N187,O187,$F187:$J187,P187,$F$28,E187)</f>
        <v>0</v>
      </c>
      <c r="R187" s="107"/>
    </row>
    <row r="188" spans="3:18" x14ac:dyDescent="0.25">
      <c r="D188" s="55" t="s">
        <v>775</v>
      </c>
      <c r="E188" s="105"/>
      <c r="F188" s="101">
        <v>3500</v>
      </c>
      <c r="G188" s="102">
        <v>2000</v>
      </c>
      <c r="H188" s="103">
        <v>1000</v>
      </c>
      <c r="M188" s="120" t="str">
        <f>$D188</f>
        <v>SSB</v>
      </c>
      <c r="N188" s="107" t="s">
        <v>589</v>
      </c>
      <c r="O188" s="116" t="s">
        <v>632</v>
      </c>
      <c r="P188" s="113">
        <v>0</v>
      </c>
      <c r="Q188" s="151">
        <f ca="1">CalculateInvestment($N$73,N188,O188,$F188:$J188,P188,$F$28,E188)</f>
        <v>0</v>
      </c>
      <c r="R188" s="107"/>
    </row>
    <row r="189" spans="3:18" x14ac:dyDescent="0.25">
      <c r="C189" t="s">
        <v>553</v>
      </c>
      <c r="Q189" s="108"/>
    </row>
    <row r="190" spans="3:18" x14ac:dyDescent="0.25">
      <c r="D190" s="55" t="s">
        <v>551</v>
      </c>
      <c r="E190" s="105"/>
      <c r="F190" s="101">
        <v>7000</v>
      </c>
      <c r="G190" s="102">
        <v>3000</v>
      </c>
      <c r="H190" s="103">
        <v>2000</v>
      </c>
      <c r="M190" s="120" t="str">
        <f t="shared" si="2"/>
        <v>Airconditioning</v>
      </c>
      <c r="N190" s="107" t="s">
        <v>588</v>
      </c>
      <c r="O190" s="116" t="s">
        <v>632</v>
      </c>
      <c r="P190" s="113">
        <v>0</v>
      </c>
      <c r="Q190" s="151">
        <f ca="1">CalculateInvestment($N$73,N190,O190,$F190:$J190,P190,$F$28,E190)</f>
        <v>0</v>
      </c>
      <c r="R190" s="107"/>
    </row>
    <row r="191" spans="3:18" x14ac:dyDescent="0.25">
      <c r="D191" s="55" t="s">
        <v>552</v>
      </c>
      <c r="E191" s="105"/>
      <c r="F191" s="101">
        <v>3000</v>
      </c>
      <c r="G191" s="102">
        <v>2000</v>
      </c>
      <c r="H191" s="103">
        <v>1200</v>
      </c>
      <c r="M191" s="120" t="str">
        <f t="shared" si="2"/>
        <v>Heater</v>
      </c>
      <c r="N191" s="107" t="s">
        <v>588</v>
      </c>
      <c r="O191" s="116" t="s">
        <v>632</v>
      </c>
      <c r="P191" s="113">
        <v>0</v>
      </c>
      <c r="Q191" s="151">
        <f ca="1">CalculateInvestment($N$73,N191,O191,$F191:$J191,P191,$F$28,E191)</f>
        <v>0</v>
      </c>
      <c r="R191" s="107"/>
    </row>
    <row r="192" spans="3:18" x14ac:dyDescent="0.25">
      <c r="D192" s="55" t="s">
        <v>554</v>
      </c>
      <c r="E192" s="105"/>
      <c r="F192" s="101">
        <v>1200</v>
      </c>
      <c r="G192" s="102">
        <v>1000</v>
      </c>
      <c r="H192" s="103">
        <v>500</v>
      </c>
      <c r="J192" s="112" t="s">
        <v>75</v>
      </c>
      <c r="M192" s="120" t="str">
        <f t="shared" si="2"/>
        <v>Ventilation</v>
      </c>
      <c r="N192" s="107" t="s">
        <v>589</v>
      </c>
      <c r="O192" s="116" t="s">
        <v>632</v>
      </c>
      <c r="P192" s="113">
        <v>0</v>
      </c>
      <c r="Q192" s="151">
        <f ca="1">CalculateInvestment($N$73,N192,O192,$F192:$J192,P192,$F$28,E192)</f>
        <v>0</v>
      </c>
      <c r="R192" s="107"/>
    </row>
    <row r="193" spans="2:18" x14ac:dyDescent="0.25">
      <c r="D193" s="55" t="s">
        <v>42</v>
      </c>
      <c r="E193" s="105"/>
      <c r="F193" s="101">
        <v>400</v>
      </c>
      <c r="G193" s="102">
        <v>250</v>
      </c>
      <c r="H193" s="103">
        <v>150</v>
      </c>
      <c r="J193" s="112" t="s">
        <v>75</v>
      </c>
      <c r="M193" s="120" t="str">
        <f t="shared" si="2"/>
        <v>Fans</v>
      </c>
      <c r="N193" s="107" t="s">
        <v>589</v>
      </c>
      <c r="O193" s="116" t="s">
        <v>632</v>
      </c>
      <c r="P193" s="113">
        <v>0</v>
      </c>
      <c r="Q193" s="151">
        <f ca="1">CalculateInvestment($N$73,N193,O193,$F193:$J193,P193,$F$28,E193)</f>
        <v>0</v>
      </c>
      <c r="R193" s="107"/>
    </row>
    <row r="194" spans="2:18" x14ac:dyDescent="0.25">
      <c r="Q194" s="108"/>
    </row>
    <row r="195" spans="2:18" x14ac:dyDescent="0.25">
      <c r="B195" t="s">
        <v>536</v>
      </c>
      <c r="Q195" s="108"/>
    </row>
    <row r="196" spans="2:18" x14ac:dyDescent="0.25">
      <c r="C196" t="s">
        <v>543</v>
      </c>
      <c r="Q196" s="108"/>
    </row>
    <row r="197" spans="2:18" x14ac:dyDescent="0.25">
      <c r="D197" s="55" t="s">
        <v>537</v>
      </c>
      <c r="E197" s="143" t="s">
        <v>674</v>
      </c>
      <c r="F197" s="101">
        <v>0</v>
      </c>
      <c r="G197" s="102">
        <v>0</v>
      </c>
      <c r="H197" s="103">
        <v>0</v>
      </c>
      <c r="J197" s="112" t="s">
        <v>75</v>
      </c>
      <c r="M197" s="120" t="str">
        <f t="shared" si="2"/>
        <v>Joinery</v>
      </c>
      <c r="N197" s="107" t="s">
        <v>589</v>
      </c>
      <c r="O197" s="116" t="s">
        <v>632</v>
      </c>
      <c r="P197" s="113">
        <v>0</v>
      </c>
      <c r="Q197" s="151">
        <f ca="1">CalculateInvestment($N$73,N197,O197,$F197:$J197,P197,$F$28,E197)</f>
        <v>0</v>
      </c>
      <c r="R197" s="107"/>
    </row>
    <row r="198" spans="2:18" x14ac:dyDescent="0.25">
      <c r="D198" s="55" t="s">
        <v>541</v>
      </c>
      <c r="E198" s="143" t="s">
        <v>674</v>
      </c>
      <c r="F198" s="101">
        <v>5000</v>
      </c>
      <c r="G198" s="102">
        <v>3000</v>
      </c>
      <c r="H198" s="103">
        <v>1500</v>
      </c>
      <c r="J198" s="112" t="s">
        <v>75</v>
      </c>
      <c r="M198" s="120" t="str">
        <f t="shared" si="2"/>
        <v>Floorboards</v>
      </c>
      <c r="N198" s="107" t="s">
        <v>589</v>
      </c>
      <c r="O198" s="116" t="s">
        <v>632</v>
      </c>
      <c r="P198" s="113">
        <v>0</v>
      </c>
      <c r="Q198" s="151">
        <f ca="1">CalculateInvestment($N$73,N198,O198,$F198:$J198,P198,$F$28,E198)</f>
        <v>0</v>
      </c>
      <c r="R198" s="107"/>
    </row>
    <row r="199" spans="2:18" x14ac:dyDescent="0.25">
      <c r="D199" s="55" t="s">
        <v>542</v>
      </c>
      <c r="E199" s="143" t="s">
        <v>674</v>
      </c>
      <c r="F199" s="101">
        <v>2000</v>
      </c>
      <c r="G199" s="102">
        <v>1200</v>
      </c>
      <c r="H199" s="103">
        <v>700</v>
      </c>
      <c r="J199" s="112" t="s">
        <v>75</v>
      </c>
      <c r="M199" s="120" t="str">
        <f t="shared" si="2"/>
        <v>Ceiling/Liners</v>
      </c>
      <c r="N199" s="107" t="s">
        <v>589</v>
      </c>
      <c r="O199" s="116" t="s">
        <v>632</v>
      </c>
      <c r="P199" s="113">
        <v>0</v>
      </c>
      <c r="Q199" s="151">
        <f ca="1">CalculateInvestment($N$73,N199,O199,$F199:$J199,P199,$F$28,E199)</f>
        <v>0</v>
      </c>
      <c r="R199" s="107"/>
    </row>
    <row r="200" spans="2:18" x14ac:dyDescent="0.25">
      <c r="D200" s="55" t="s">
        <v>544</v>
      </c>
      <c r="E200" s="105"/>
      <c r="F200" s="101">
        <v>3000</v>
      </c>
      <c r="G200" s="102">
        <v>1250</v>
      </c>
      <c r="H200" s="103">
        <v>800</v>
      </c>
      <c r="J200" s="112" t="s">
        <v>75</v>
      </c>
      <c r="M200" s="120" t="str">
        <f t="shared" si="2"/>
        <v>Upholstery</v>
      </c>
      <c r="N200" s="107" t="s">
        <v>589</v>
      </c>
      <c r="O200" s="116" t="s">
        <v>632</v>
      </c>
      <c r="P200" s="113">
        <v>0</v>
      </c>
      <c r="Q200" s="151">
        <f ca="1">CalculateInvestment($N$73,N200,O200,$F200:$J200,P200,$F$28,E200)</f>
        <v>0</v>
      </c>
      <c r="R200" s="107"/>
    </row>
    <row r="201" spans="2:18" x14ac:dyDescent="0.25">
      <c r="C201" t="s">
        <v>33</v>
      </c>
      <c r="Q201" s="108"/>
    </row>
    <row r="202" spans="2:18" x14ac:dyDescent="0.25">
      <c r="D202" s="55" t="s">
        <v>516</v>
      </c>
      <c r="E202" s="105"/>
      <c r="F202" s="101">
        <v>3000</v>
      </c>
      <c r="G202" s="102">
        <v>2000</v>
      </c>
      <c r="H202" s="103">
        <v>1500</v>
      </c>
      <c r="J202" s="112" t="s">
        <v>75</v>
      </c>
      <c r="M202" s="120" t="str">
        <f t="shared" si="2"/>
        <v>Propane System</v>
      </c>
      <c r="N202" s="107" t="s">
        <v>588</v>
      </c>
      <c r="O202" s="116" t="s">
        <v>632</v>
      </c>
      <c r="P202" s="113">
        <v>0</v>
      </c>
      <c r="Q202" s="151" t="str">
        <f ca="1">CalculateInvestment($N$73,N202,O202,$F202:$J202,P202,$F$28,E202)</f>
        <v>REQUIRED</v>
      </c>
      <c r="R202" s="107"/>
    </row>
    <row r="203" spans="2:18" x14ac:dyDescent="0.25">
      <c r="D203" s="55" t="s">
        <v>517</v>
      </c>
      <c r="E203" s="105"/>
      <c r="F203" s="101">
        <v>2200</v>
      </c>
      <c r="G203" s="102">
        <v>1500</v>
      </c>
      <c r="H203" s="103">
        <v>1200</v>
      </c>
      <c r="J203" s="112" t="s">
        <v>75</v>
      </c>
      <c r="M203" s="120" t="str">
        <f t="shared" si="2"/>
        <v>Stove/Oven</v>
      </c>
      <c r="N203" s="107" t="s">
        <v>588</v>
      </c>
      <c r="O203" s="116" t="s">
        <v>632</v>
      </c>
      <c r="P203" s="113">
        <v>0</v>
      </c>
      <c r="Q203" s="151" t="str">
        <f ca="1">CalculateInvestment($N$73,N203,O203,$F203:$J203,P203,$F$28,E203)</f>
        <v>REQUIRED</v>
      </c>
      <c r="R203" s="107"/>
    </row>
    <row r="204" spans="2:18" x14ac:dyDescent="0.25">
      <c r="D204" s="55" t="s">
        <v>35</v>
      </c>
      <c r="E204" s="105"/>
      <c r="F204" s="101">
        <v>4000</v>
      </c>
      <c r="G204" s="102">
        <v>2500</v>
      </c>
      <c r="H204" s="103">
        <v>1500</v>
      </c>
      <c r="J204" s="112" t="s">
        <v>75</v>
      </c>
      <c r="M204" s="120" t="str">
        <f t="shared" si="2"/>
        <v>Fridge</v>
      </c>
      <c r="N204" s="107" t="s">
        <v>588</v>
      </c>
      <c r="O204" s="116" t="s">
        <v>632</v>
      </c>
      <c r="P204" s="113">
        <v>0</v>
      </c>
      <c r="Q204" s="151" t="str">
        <f ca="1">CalculateInvestment($N$73,N204,O204,$F204:$J204,P204,$F$28,E204)</f>
        <v>REQUIRED</v>
      </c>
      <c r="R204" s="107"/>
    </row>
    <row r="205" spans="2:18" x14ac:dyDescent="0.25">
      <c r="D205" s="55" t="s">
        <v>36</v>
      </c>
      <c r="E205" s="105"/>
      <c r="F205" s="101">
        <v>3000</v>
      </c>
      <c r="G205" s="102">
        <v>2000</v>
      </c>
      <c r="H205" s="103">
        <v>1500</v>
      </c>
      <c r="M205" s="120" t="str">
        <f t="shared" si="2"/>
        <v>Freezer</v>
      </c>
      <c r="N205" s="107" t="s">
        <v>588</v>
      </c>
      <c r="O205" s="116" t="s">
        <v>632</v>
      </c>
      <c r="P205" s="113">
        <v>0</v>
      </c>
      <c r="Q205" s="151">
        <f ca="1">CalculateInvestment($N$73,N205,O205,$F205:$J205,P205,$F$28,E205)</f>
        <v>0</v>
      </c>
      <c r="R205" s="107"/>
    </row>
    <row r="206" spans="2:18" x14ac:dyDescent="0.25">
      <c r="D206" s="55" t="s">
        <v>519</v>
      </c>
      <c r="E206" s="105"/>
      <c r="F206" s="101">
        <v>600</v>
      </c>
      <c r="G206" s="102">
        <v>300</v>
      </c>
      <c r="H206" s="103">
        <v>200</v>
      </c>
      <c r="J206" s="112" t="s">
        <v>75</v>
      </c>
      <c r="M206" s="120" t="str">
        <f t="shared" si="2"/>
        <v>Sink</v>
      </c>
      <c r="N206" s="107" t="s">
        <v>588</v>
      </c>
      <c r="O206" s="116" t="s">
        <v>632</v>
      </c>
      <c r="P206" s="113">
        <v>0</v>
      </c>
      <c r="Q206" s="151" t="str">
        <f ca="1">CalculateInvestment($N$73,N206,O206,$F206:$J206,P206,$F$28,E206)</f>
        <v>REQUIRED</v>
      </c>
      <c r="R206" s="107"/>
    </row>
    <row r="207" spans="2:18" x14ac:dyDescent="0.25">
      <c r="D207" s="55" t="s">
        <v>518</v>
      </c>
      <c r="E207" s="105"/>
      <c r="F207" s="101">
        <v>0</v>
      </c>
      <c r="G207" s="102">
        <v>0</v>
      </c>
      <c r="H207" s="103">
        <v>0</v>
      </c>
      <c r="J207" s="112" t="s">
        <v>75</v>
      </c>
      <c r="M207" s="120" t="str">
        <f t="shared" si="2"/>
        <v>Galley Equipment</v>
      </c>
      <c r="N207" s="107" t="s">
        <v>588</v>
      </c>
      <c r="O207" s="116" t="s">
        <v>632</v>
      </c>
      <c r="P207" s="113">
        <v>0</v>
      </c>
      <c r="Q207" s="151" t="str">
        <f ca="1">CalculateInvestment($N$73,N207,O207,$F207:$J207,P207,$F$28,E207)</f>
        <v>REQUIRED</v>
      </c>
      <c r="R207" s="107"/>
    </row>
    <row r="208" spans="2:18" x14ac:dyDescent="0.25">
      <c r="D208" s="55" t="s">
        <v>51</v>
      </c>
      <c r="E208" s="105"/>
      <c r="F208" s="101">
        <v>700</v>
      </c>
      <c r="G208" s="102">
        <v>500</v>
      </c>
      <c r="H208" s="103">
        <v>400</v>
      </c>
      <c r="M208" s="120" t="str">
        <f t="shared" si="2"/>
        <v>Microwave</v>
      </c>
      <c r="N208" s="107" t="s">
        <v>588</v>
      </c>
      <c r="O208" s="116" t="s">
        <v>632</v>
      </c>
      <c r="P208" s="113">
        <v>0</v>
      </c>
      <c r="Q208" s="151">
        <f ca="1">CalculateInvestment($N$73,N208,O208,$F208:$J208,P208,$F$28,E208)</f>
        <v>0</v>
      </c>
      <c r="R208" s="107"/>
    </row>
    <row r="209" spans="2:18" x14ac:dyDescent="0.25">
      <c r="C209" t="s">
        <v>550</v>
      </c>
      <c r="Q209" s="108"/>
    </row>
    <row r="210" spans="2:18" x14ac:dyDescent="0.25">
      <c r="D210" s="55" t="s">
        <v>730</v>
      </c>
      <c r="E210" s="105"/>
      <c r="F210" s="101">
        <v>2000</v>
      </c>
      <c r="G210" s="102">
        <v>1500</v>
      </c>
      <c r="H210" s="103">
        <v>1000</v>
      </c>
      <c r="J210" s="112" t="s">
        <v>75</v>
      </c>
      <c r="M210" s="120" t="str">
        <f t="shared" si="2"/>
        <v>Head</v>
      </c>
      <c r="N210" s="107" t="s">
        <v>588</v>
      </c>
      <c r="O210" s="116" t="s">
        <v>632</v>
      </c>
      <c r="P210" s="113">
        <v>0</v>
      </c>
      <c r="Q210" s="151" t="str">
        <f ca="1">CalculateInvestment($N$73,N210,O210,$F210:$J210,P210,$F$28,E210)</f>
        <v>REQUIRED</v>
      </c>
      <c r="R210" s="107"/>
    </row>
    <row r="211" spans="2:18" x14ac:dyDescent="0.25">
      <c r="D211" s="55" t="s">
        <v>729</v>
      </c>
      <c r="E211" s="105"/>
      <c r="F211" s="101">
        <v>4000</v>
      </c>
      <c r="G211" s="102">
        <v>3000</v>
      </c>
      <c r="H211" s="103">
        <v>2000</v>
      </c>
      <c r="M211" s="120" t="str">
        <f t="shared" si="2"/>
        <v>Holding Tank</v>
      </c>
      <c r="N211" s="107" t="s">
        <v>588</v>
      </c>
      <c r="O211" s="116" t="s">
        <v>632</v>
      </c>
      <c r="P211" s="113">
        <v>0</v>
      </c>
      <c r="Q211" s="151">
        <f ca="1">CalculateInvestment($N$73,N211,O211,$F211:$J211,P211,$F$28,E211)</f>
        <v>0</v>
      </c>
      <c r="R211" s="107"/>
    </row>
    <row r="212" spans="2:18" x14ac:dyDescent="0.25">
      <c r="D212" s="55" t="s">
        <v>731</v>
      </c>
      <c r="E212" s="105"/>
      <c r="F212" s="101">
        <v>2500</v>
      </c>
      <c r="G212" s="102">
        <v>1500</v>
      </c>
      <c r="H212" s="103">
        <v>1000</v>
      </c>
      <c r="J212" s="112" t="s">
        <v>75</v>
      </c>
      <c r="M212" s="120" t="str">
        <f t="shared" si="2"/>
        <v>Shower</v>
      </c>
      <c r="N212" s="107" t="s">
        <v>588</v>
      </c>
      <c r="O212" s="116" t="s">
        <v>632</v>
      </c>
      <c r="P212" s="113">
        <v>0</v>
      </c>
      <c r="Q212" s="151" t="str">
        <f ca="1">CalculateInvestment($N$73,N212,O212,$F212:$J212,P212,$F$28,E212)</f>
        <v>REQUIRED</v>
      </c>
      <c r="R212" s="107"/>
    </row>
    <row r="213" spans="2:18" x14ac:dyDescent="0.25">
      <c r="D213" s="55" t="s">
        <v>519</v>
      </c>
      <c r="E213" s="105"/>
      <c r="F213" s="101">
        <v>1200</v>
      </c>
      <c r="G213" s="102">
        <v>700</v>
      </c>
      <c r="H213" s="103">
        <v>400</v>
      </c>
      <c r="J213" s="112" t="s">
        <v>75</v>
      </c>
      <c r="M213" s="120" t="str">
        <f t="shared" si="2"/>
        <v>Sink</v>
      </c>
      <c r="N213" s="107" t="s">
        <v>588</v>
      </c>
      <c r="O213" s="116" t="s">
        <v>632</v>
      </c>
      <c r="P213" s="113">
        <v>0</v>
      </c>
      <c r="Q213" s="151" t="str">
        <f ca="1">CalculateInvestment($N$73,N213,O213,$F213:$J213,P213,$F$28,E213)</f>
        <v>REQUIRED</v>
      </c>
      <c r="R213" s="107"/>
    </row>
    <row r="214" spans="2:18" x14ac:dyDescent="0.25">
      <c r="Q214" s="108"/>
    </row>
    <row r="215" spans="2:18" x14ac:dyDescent="0.25">
      <c r="B215" t="s">
        <v>555</v>
      </c>
      <c r="Q215" s="108"/>
    </row>
    <row r="216" spans="2:18" x14ac:dyDescent="0.25">
      <c r="D216" s="55" t="s">
        <v>556</v>
      </c>
      <c r="E216" s="105"/>
      <c r="F216" s="101">
        <v>1000</v>
      </c>
      <c r="G216" s="102">
        <v>600</v>
      </c>
      <c r="H216" s="103">
        <v>400</v>
      </c>
      <c r="J216" s="112" t="s">
        <v>75</v>
      </c>
      <c r="M216" s="120" t="str">
        <f t="shared" si="2"/>
        <v>Fire Extinguishers</v>
      </c>
      <c r="N216" s="107" t="s">
        <v>588</v>
      </c>
      <c r="O216" s="116" t="s">
        <v>632</v>
      </c>
      <c r="P216" s="113">
        <v>0</v>
      </c>
      <c r="Q216" s="151" t="str">
        <f ca="1">CalculateInvestment($N$73,N216,O216,$F216:$J216,P216,$F$28,E216)</f>
        <v>REQUIRED</v>
      </c>
      <c r="R216" s="107"/>
    </row>
    <row r="217" spans="2:18" x14ac:dyDescent="0.25">
      <c r="D217" s="55" t="s">
        <v>557</v>
      </c>
      <c r="E217" s="105"/>
      <c r="F217" s="101">
        <v>5000</v>
      </c>
      <c r="G217" s="102">
        <v>4000</v>
      </c>
      <c r="H217" s="103">
        <v>2500</v>
      </c>
      <c r="J217" s="112" t="s">
        <v>75</v>
      </c>
      <c r="M217" s="120" t="str">
        <f t="shared" si="2"/>
        <v>Liferaft</v>
      </c>
      <c r="N217" s="107" t="s">
        <v>589</v>
      </c>
      <c r="O217" s="116" t="s">
        <v>632</v>
      </c>
      <c r="P217" s="113">
        <v>0</v>
      </c>
      <c r="Q217" s="151">
        <f ca="1">CalculateInvestment($N$73,N217,O217,$F217:$J217,P217,$F$28,E217)</f>
        <v>0</v>
      </c>
      <c r="R217" s="107"/>
    </row>
    <row r="218" spans="2:18" x14ac:dyDescent="0.25">
      <c r="D218" s="55" t="s">
        <v>558</v>
      </c>
      <c r="E218" s="105"/>
      <c r="F218" s="101">
        <v>400</v>
      </c>
      <c r="G218" s="102">
        <v>300</v>
      </c>
      <c r="H218" s="103">
        <v>200</v>
      </c>
      <c r="J218" s="112" t="s">
        <v>75</v>
      </c>
      <c r="M218" s="120" t="str">
        <f t="shared" si="2"/>
        <v>Flares</v>
      </c>
      <c r="N218" s="107" t="s">
        <v>588</v>
      </c>
      <c r="O218" s="116" t="s">
        <v>632</v>
      </c>
      <c r="P218" s="113">
        <v>0</v>
      </c>
      <c r="Q218" s="151" t="str">
        <f ca="1">CalculateInvestment($N$73,N218,O218,$F218:$J218,P218,$F$28,E218)</f>
        <v>REQUIRED</v>
      </c>
      <c r="R218" s="107"/>
    </row>
    <row r="219" spans="2:18" x14ac:dyDescent="0.25">
      <c r="D219" s="55" t="s">
        <v>559</v>
      </c>
      <c r="E219" s="105"/>
      <c r="F219" s="101">
        <v>1200</v>
      </c>
      <c r="G219" s="102">
        <v>800</v>
      </c>
      <c r="H219" s="103">
        <v>600</v>
      </c>
      <c r="J219" s="112" t="s">
        <v>75</v>
      </c>
      <c r="M219" s="120" t="str">
        <f t="shared" si="2"/>
        <v>Bilge Pumps</v>
      </c>
      <c r="N219" s="107" t="s">
        <v>588</v>
      </c>
      <c r="O219" s="116" t="s">
        <v>632</v>
      </c>
      <c r="P219" s="113">
        <v>0</v>
      </c>
      <c r="Q219" s="151" t="str">
        <f ca="1">CalculateInvestment($N$73,N219,O219,$F219:$J219,P219,$F$28,E219)</f>
        <v>REQUIRED</v>
      </c>
      <c r="R219" s="107"/>
    </row>
    <row r="220" spans="2:18" x14ac:dyDescent="0.25">
      <c r="D220" s="55" t="s">
        <v>560</v>
      </c>
      <c r="E220" s="105"/>
      <c r="F220" s="101">
        <v>1000</v>
      </c>
      <c r="G220" s="102">
        <v>700</v>
      </c>
      <c r="H220" s="103">
        <v>500</v>
      </c>
      <c r="J220" s="112" t="s">
        <v>75</v>
      </c>
      <c r="M220" s="120" t="str">
        <f t="shared" si="2"/>
        <v>EPIRB</v>
      </c>
      <c r="N220" s="107" t="s">
        <v>588</v>
      </c>
      <c r="O220" s="116" t="s">
        <v>632</v>
      </c>
      <c r="P220" s="113">
        <v>0</v>
      </c>
      <c r="Q220" s="151" t="str">
        <f ca="1">CalculateInvestment($N$73,N220,O220,$F220:$J220,P220,$F$28,E220)</f>
        <v>REQUIRED</v>
      </c>
      <c r="R220" s="107"/>
    </row>
    <row r="221" spans="2:18" x14ac:dyDescent="0.25">
      <c r="D221" s="55" t="s">
        <v>561</v>
      </c>
      <c r="E221" s="105"/>
      <c r="F221" s="101">
        <v>200</v>
      </c>
      <c r="G221" s="102">
        <v>150</v>
      </c>
      <c r="H221" s="103">
        <v>100</v>
      </c>
      <c r="J221" s="112" t="s">
        <v>75</v>
      </c>
      <c r="M221" s="120" t="str">
        <f t="shared" si="2"/>
        <v>Jacklines</v>
      </c>
      <c r="N221" s="107" t="s">
        <v>588</v>
      </c>
      <c r="O221" s="116" t="s">
        <v>632</v>
      </c>
      <c r="P221" s="113">
        <v>0</v>
      </c>
      <c r="Q221" s="151" t="str">
        <f ca="1">CalculateInvestment($N$73,N221,O221,$F221:$J221,P221,$F$28,E221)</f>
        <v>REQUIRED</v>
      </c>
      <c r="R221" s="107"/>
    </row>
    <row r="222" spans="2:18" x14ac:dyDescent="0.25">
      <c r="D222" s="55" t="s">
        <v>596</v>
      </c>
      <c r="E222" s="105"/>
      <c r="F222" s="101">
        <v>500</v>
      </c>
      <c r="G222" s="102">
        <v>300</v>
      </c>
      <c r="H222" s="103">
        <v>200</v>
      </c>
      <c r="J222" s="112" t="s">
        <v>75</v>
      </c>
      <c r="M222" s="120" t="str">
        <f t="shared" si="2"/>
        <v>Medical Kit</v>
      </c>
      <c r="N222" s="107" t="s">
        <v>588</v>
      </c>
      <c r="O222" s="116" t="s">
        <v>632</v>
      </c>
      <c r="P222" s="113">
        <v>0</v>
      </c>
      <c r="Q222" s="151" t="str">
        <f ca="1">CalculateInvestment($N$73,N222,O222,$F222:$J222,P222,$F$28,E222)</f>
        <v>REQUIRED</v>
      </c>
      <c r="R222" s="107"/>
    </row>
    <row r="223" spans="2:18" x14ac:dyDescent="0.25">
      <c r="D223" s="55" t="s">
        <v>597</v>
      </c>
      <c r="E223" s="105"/>
      <c r="F223" s="101">
        <v>500</v>
      </c>
      <c r="G223" s="102">
        <v>300</v>
      </c>
      <c r="H223" s="103">
        <v>200</v>
      </c>
      <c r="J223" s="112" t="s">
        <v>75</v>
      </c>
      <c r="M223" s="120" t="str">
        <f t="shared" si="2"/>
        <v>Liferings, Buoys, Throwline</v>
      </c>
      <c r="N223" s="107" t="s">
        <v>588</v>
      </c>
      <c r="O223" s="116" t="s">
        <v>632</v>
      </c>
      <c r="P223" s="113">
        <v>0</v>
      </c>
      <c r="Q223" s="151" t="str">
        <f ca="1">CalculateInvestment($N$73,N223,O223,$F223:$J223,P223,$F$28,E223)</f>
        <v>REQUIRED</v>
      </c>
      <c r="R223" s="107"/>
    </row>
    <row r="224" spans="2:18" x14ac:dyDescent="0.25">
      <c r="D224" s="55" t="s">
        <v>598</v>
      </c>
      <c r="E224" s="105"/>
      <c r="F224" s="101">
        <v>300</v>
      </c>
      <c r="G224" s="102">
        <v>200</v>
      </c>
      <c r="H224" s="103">
        <v>150</v>
      </c>
      <c r="J224" s="112" t="s">
        <v>75</v>
      </c>
      <c r="M224" s="120" t="str">
        <f t="shared" si="2"/>
        <v>Lifewests</v>
      </c>
      <c r="N224" s="107" t="s">
        <v>588</v>
      </c>
      <c r="O224" s="116" t="s">
        <v>632</v>
      </c>
      <c r="P224" s="113">
        <v>0</v>
      </c>
      <c r="Q224" s="151" t="str">
        <f ca="1">CalculateInvestment($N$73,N224,O224,$F224:$J224,P224,$F$28,E224)</f>
        <v>REQUIRED</v>
      </c>
      <c r="R224" s="107"/>
    </row>
    <row r="225" spans="2:18" x14ac:dyDescent="0.25">
      <c r="D225" s="55" t="s">
        <v>599</v>
      </c>
      <c r="E225" s="105"/>
      <c r="F225" s="101">
        <v>250</v>
      </c>
      <c r="G225" s="102">
        <v>200</v>
      </c>
      <c r="H225" s="103">
        <v>150</v>
      </c>
      <c r="M225" s="120" t="str">
        <f t="shared" si="2"/>
        <v>Horn</v>
      </c>
      <c r="N225" s="107" t="s">
        <v>780</v>
      </c>
      <c r="O225" s="116" t="s">
        <v>632</v>
      </c>
      <c r="P225" s="113">
        <v>0</v>
      </c>
      <c r="Q225" s="151">
        <f ca="1">CalculateInvestment($N$73,N225,O225,$F225:$J225,P225,$F$28,E225)</f>
        <v>0</v>
      </c>
      <c r="R225" s="107"/>
    </row>
    <row r="226" spans="2:18" x14ac:dyDescent="0.25">
      <c r="D226" s="55" t="s">
        <v>600</v>
      </c>
      <c r="E226" s="105"/>
      <c r="F226" s="101">
        <v>1500</v>
      </c>
      <c r="G226" s="102">
        <v>1000</v>
      </c>
      <c r="H226" s="103">
        <v>800</v>
      </c>
      <c r="M226" s="120" t="str">
        <f t="shared" si="2"/>
        <v>Engine Fire Suppression System</v>
      </c>
      <c r="N226" s="107" t="s">
        <v>588</v>
      </c>
      <c r="O226" s="116" t="s">
        <v>632</v>
      </c>
      <c r="P226" s="113">
        <v>0</v>
      </c>
      <c r="Q226" s="151">
        <f ca="1">CalculateInvestment($N$73,N226,O226,$F226:$J226,P226,$F$28,E226)</f>
        <v>0</v>
      </c>
      <c r="R226" s="107"/>
    </row>
    <row r="227" spans="2:18" x14ac:dyDescent="0.25">
      <c r="D227" s="55" t="s">
        <v>601</v>
      </c>
      <c r="E227" s="105"/>
      <c r="F227" s="101">
        <v>400</v>
      </c>
      <c r="G227" s="102">
        <v>250</v>
      </c>
      <c r="H227" s="103">
        <v>200</v>
      </c>
      <c r="J227" s="112" t="s">
        <v>75</v>
      </c>
      <c r="M227" s="120" t="str">
        <f t="shared" si="2"/>
        <v>CO and Propane Alarms</v>
      </c>
      <c r="N227" s="107" t="s">
        <v>588</v>
      </c>
      <c r="O227" s="116" t="s">
        <v>632</v>
      </c>
      <c r="P227" s="113">
        <v>0</v>
      </c>
      <c r="Q227" s="151" t="str">
        <f ca="1">CalculateInvestment($N$73,N227,O227,$F227:$J227,P227,$F$28,E227)</f>
        <v>REQUIRED</v>
      </c>
      <c r="R227" s="107"/>
    </row>
    <row r="228" spans="2:18" x14ac:dyDescent="0.25">
      <c r="Q228" s="108"/>
    </row>
    <row r="229" spans="2:18" x14ac:dyDescent="0.25">
      <c r="B229" t="s">
        <v>562</v>
      </c>
      <c r="Q229" s="108"/>
    </row>
    <row r="230" spans="2:18" x14ac:dyDescent="0.25">
      <c r="D230" s="55" t="s">
        <v>692</v>
      </c>
      <c r="E230" s="106"/>
      <c r="F230" s="101">
        <v>5700</v>
      </c>
      <c r="G230" s="102">
        <v>3600</v>
      </c>
      <c r="H230" s="103">
        <v>1900</v>
      </c>
      <c r="J230" s="112" t="s">
        <v>75</v>
      </c>
      <c r="M230" s="120" t="str">
        <f t="shared" si="2"/>
        <v>Dinghy →</v>
      </c>
      <c r="N230" s="107" t="s">
        <v>589</v>
      </c>
      <c r="O230" s="116" t="s">
        <v>632</v>
      </c>
      <c r="P230" s="113">
        <v>0</v>
      </c>
      <c r="Q230" s="151">
        <f ca="1">CalculateInvestment($N$73,N230,O230,$F230:$J230,P230,$F$28,E230)</f>
        <v>0</v>
      </c>
      <c r="R230" s="107"/>
    </row>
    <row r="231" spans="2:18" x14ac:dyDescent="0.25">
      <c r="D231" s="55" t="s">
        <v>693</v>
      </c>
      <c r="E231" s="106"/>
      <c r="F231" s="101">
        <v>2300</v>
      </c>
      <c r="G231" s="102">
        <v>1500</v>
      </c>
      <c r="H231" s="103">
        <v>1300</v>
      </c>
      <c r="J231" s="112" t="s">
        <v>75</v>
      </c>
      <c r="M231" s="120" t="str">
        <f t="shared" ref="M231:M265" si="3">$D231</f>
        <v>Outboard →</v>
      </c>
      <c r="N231" s="107" t="s">
        <v>589</v>
      </c>
      <c r="O231" s="116" t="s">
        <v>632</v>
      </c>
      <c r="P231" s="113">
        <v>0</v>
      </c>
      <c r="Q231" s="151">
        <f ca="1">CalculateInvestment($N$73,N231,O231,$F231:$J231,P231,$F$28,E231)</f>
        <v>0</v>
      </c>
      <c r="R231" s="107"/>
    </row>
    <row r="232" spans="2:18" x14ac:dyDescent="0.25">
      <c r="D232" s="55" t="s">
        <v>743</v>
      </c>
      <c r="E232" s="105"/>
      <c r="F232" s="101">
        <v>1500</v>
      </c>
      <c r="G232" s="102">
        <v>800</v>
      </c>
      <c r="H232" s="103">
        <v>700</v>
      </c>
      <c r="M232" s="120" t="str">
        <f t="shared" si="3"/>
        <v>Kayak, Paddleboard, etc</v>
      </c>
      <c r="N232" s="107" t="s">
        <v>588</v>
      </c>
      <c r="O232" s="116" t="s">
        <v>632</v>
      </c>
      <c r="P232" s="113">
        <v>0</v>
      </c>
      <c r="Q232" s="151">
        <f ca="1">CalculateInvestment($N$73,N232,O232,$F232:$J232,P232,$F$28,E232)</f>
        <v>0</v>
      </c>
      <c r="R232" s="107"/>
    </row>
    <row r="233" spans="2:18" x14ac:dyDescent="0.25">
      <c r="Q233" s="108"/>
    </row>
    <row r="234" spans="2:18" x14ac:dyDescent="0.25">
      <c r="B234" t="s">
        <v>565</v>
      </c>
      <c r="Q234" s="108"/>
    </row>
    <row r="235" spans="2:18" x14ac:dyDescent="0.25">
      <c r="C235" t="s">
        <v>328</v>
      </c>
      <c r="Q235" s="108"/>
    </row>
    <row r="236" spans="2:18" x14ac:dyDescent="0.25">
      <c r="D236" s="55" t="s">
        <v>694</v>
      </c>
      <c r="E236" s="106"/>
      <c r="F236" s="101">
        <v>2600</v>
      </c>
      <c r="G236" s="102">
        <v>1900</v>
      </c>
      <c r="H236" s="103">
        <v>1500</v>
      </c>
      <c r="J236" s="112" t="s">
        <v>75</v>
      </c>
      <c r="M236" s="120" t="str">
        <f t="shared" si="3"/>
        <v>Power Tools →</v>
      </c>
      <c r="N236" s="107" t="s">
        <v>782</v>
      </c>
      <c r="O236" s="116">
        <v>0.8</v>
      </c>
      <c r="P236" s="113">
        <v>0</v>
      </c>
      <c r="Q236" s="151">
        <f ca="1">CalculateInvestment($N$73,N236,O236,$F236:$J236,P236,$F$28,E236)</f>
        <v>379.99999999999994</v>
      </c>
      <c r="R236" s="107"/>
    </row>
    <row r="237" spans="2:18" x14ac:dyDescent="0.25">
      <c r="D237" s="55" t="s">
        <v>695</v>
      </c>
      <c r="E237" s="106"/>
      <c r="F237" s="101">
        <v>3300</v>
      </c>
      <c r="G237" s="102">
        <v>2000</v>
      </c>
      <c r="H237" s="103">
        <v>1800</v>
      </c>
      <c r="J237" s="112" t="s">
        <v>75</v>
      </c>
      <c r="M237" s="120" t="str">
        <f t="shared" si="3"/>
        <v>Mechanical Tools →</v>
      </c>
      <c r="N237" s="107" t="s">
        <v>782</v>
      </c>
      <c r="O237" s="116">
        <v>0.8</v>
      </c>
      <c r="P237" s="113">
        <v>0</v>
      </c>
      <c r="Q237" s="151">
        <f ca="1">CalculateInvestment($N$73,N237,O237,$F237:$J237,P237,$F$28,E237)</f>
        <v>399.99999999999989</v>
      </c>
      <c r="R237" s="107"/>
    </row>
    <row r="238" spans="2:18" x14ac:dyDescent="0.25">
      <c r="D238" s="55" t="s">
        <v>696</v>
      </c>
      <c r="E238" s="106"/>
      <c r="F238" s="101">
        <v>1300</v>
      </c>
      <c r="G238" s="102">
        <v>1100</v>
      </c>
      <c r="H238" s="103">
        <v>400</v>
      </c>
      <c r="J238" s="112" t="s">
        <v>75</v>
      </c>
      <c r="M238" s="120" t="str">
        <f t="shared" si="3"/>
        <v>Sewing Kit →</v>
      </c>
      <c r="N238" s="107" t="s">
        <v>783</v>
      </c>
      <c r="O238" s="116" t="s">
        <v>632</v>
      </c>
      <c r="P238" s="113">
        <v>0</v>
      </c>
      <c r="Q238" s="151">
        <f ca="1">CalculateInvestment($N$73,N238,O238,$F238:$J238,P238,$F$28,E238)</f>
        <v>1100</v>
      </c>
      <c r="R238" s="107"/>
    </row>
    <row r="239" spans="2:18" x14ac:dyDescent="0.25">
      <c r="C239" t="s">
        <v>566</v>
      </c>
      <c r="Q239" s="108"/>
    </row>
    <row r="240" spans="2:18" x14ac:dyDescent="0.25">
      <c r="D240" s="55" t="s">
        <v>697</v>
      </c>
      <c r="E240" s="106"/>
      <c r="F240" s="101">
        <v>800</v>
      </c>
      <c r="G240" s="102">
        <v>600</v>
      </c>
      <c r="H240" s="103">
        <v>500</v>
      </c>
      <c r="J240" s="112" t="s">
        <v>75</v>
      </c>
      <c r="M240" s="120" t="str">
        <f t="shared" si="3"/>
        <v>General Mechanical Spares →</v>
      </c>
      <c r="N240" s="107" t="s">
        <v>782</v>
      </c>
      <c r="O240" s="116">
        <v>0.8</v>
      </c>
      <c r="P240" s="113">
        <v>0</v>
      </c>
      <c r="Q240" s="151">
        <f ca="1">CalculateInvestment($N$73,N240,O240,$F240:$J240,P240,$F$28,E240)</f>
        <v>119.99999999999997</v>
      </c>
      <c r="R240" s="107"/>
    </row>
    <row r="241" spans="2:18" x14ac:dyDescent="0.25">
      <c r="D241" s="55" t="s">
        <v>698</v>
      </c>
      <c r="E241" s="106"/>
      <c r="F241" s="101">
        <v>500</v>
      </c>
      <c r="G241" s="102">
        <v>300</v>
      </c>
      <c r="H241" s="103">
        <v>300</v>
      </c>
      <c r="J241" s="112" t="s">
        <v>75</v>
      </c>
      <c r="M241" s="120" t="str">
        <f t="shared" si="3"/>
        <v>Electric Installation Spares →</v>
      </c>
      <c r="N241" s="107" t="s">
        <v>782</v>
      </c>
      <c r="O241" s="116">
        <v>0.8</v>
      </c>
      <c r="P241" s="113">
        <v>0</v>
      </c>
      <c r="Q241" s="151">
        <f ca="1">CalculateInvestment($N$73,N241,O241,$F241:$J241,P241,$F$28,E241)</f>
        <v>59.999999999999986</v>
      </c>
      <c r="R241" s="107"/>
    </row>
    <row r="242" spans="2:18" x14ac:dyDescent="0.25">
      <c r="D242" s="55" t="s">
        <v>699</v>
      </c>
      <c r="E242" s="106"/>
      <c r="F242" s="101">
        <v>500</v>
      </c>
      <c r="G242" s="102">
        <v>300</v>
      </c>
      <c r="H242" s="103">
        <v>300</v>
      </c>
      <c r="J242" s="112" t="s">
        <v>75</v>
      </c>
      <c r="M242" s="120" t="str">
        <f t="shared" si="3"/>
        <v>Repair/Maintenance/Cleaning Spares →</v>
      </c>
      <c r="N242" s="107" t="s">
        <v>782</v>
      </c>
      <c r="O242" s="116">
        <v>0.8</v>
      </c>
      <c r="P242" s="113">
        <v>0</v>
      </c>
      <c r="Q242" s="151">
        <f ca="1">CalculateInvestment($N$73,N242,O242,$F242:$J242,P242,$F$28,E242)</f>
        <v>59.999999999999986</v>
      </c>
      <c r="R242" s="107"/>
    </row>
    <row r="243" spans="2:18" x14ac:dyDescent="0.25">
      <c r="D243" s="55" t="s">
        <v>700</v>
      </c>
      <c r="E243" s="106"/>
      <c r="F243" s="101">
        <v>1800</v>
      </c>
      <c r="G243" s="102">
        <v>1400</v>
      </c>
      <c r="H243" s="103">
        <v>1300</v>
      </c>
      <c r="J243" s="112" t="s">
        <v>75</v>
      </c>
      <c r="M243" s="120" t="str">
        <f t="shared" si="3"/>
        <v>Rigging Spares →</v>
      </c>
      <c r="N243" s="107" t="s">
        <v>782</v>
      </c>
      <c r="O243" s="116">
        <v>0.8</v>
      </c>
      <c r="P243" s="113">
        <v>0</v>
      </c>
      <c r="Q243" s="151">
        <f ca="1">CalculateInvestment($N$73,N243,O243,$F243:$J243,P243,$F$28,E243)</f>
        <v>279.99999999999994</v>
      </c>
      <c r="R243" s="107"/>
    </row>
    <row r="244" spans="2:18" x14ac:dyDescent="0.25">
      <c r="D244" s="55" t="s">
        <v>701</v>
      </c>
      <c r="E244" s="106"/>
      <c r="F244" s="101">
        <v>3300</v>
      </c>
      <c r="G244" s="102">
        <v>2800</v>
      </c>
      <c r="H244" s="103">
        <v>2700</v>
      </c>
      <c r="J244" s="112" t="s">
        <v>75</v>
      </c>
      <c r="M244" s="120" t="str">
        <f t="shared" si="3"/>
        <v>Engine And Drive Train Spares →</v>
      </c>
      <c r="N244" s="107" t="s">
        <v>782</v>
      </c>
      <c r="O244" s="116">
        <v>0.8</v>
      </c>
      <c r="P244" s="113">
        <v>0</v>
      </c>
      <c r="Q244" s="151">
        <f ca="1">CalculateInvestment($N$73,N244,O244,$F244:$J244,P244,$F$28,E244)</f>
        <v>559.99999999999989</v>
      </c>
      <c r="R244" s="107"/>
    </row>
    <row r="245" spans="2:18" x14ac:dyDescent="0.25">
      <c r="D245" s="55" t="s">
        <v>702</v>
      </c>
      <c r="E245" s="106"/>
      <c r="F245" s="101">
        <v>500</v>
      </c>
      <c r="G245" s="102">
        <v>400</v>
      </c>
      <c r="H245" s="103">
        <v>300</v>
      </c>
      <c r="J245" s="112" t="s">
        <v>75</v>
      </c>
      <c r="M245" s="120" t="str">
        <f t="shared" si="3"/>
        <v>Outboard Spares →</v>
      </c>
      <c r="N245" s="107" t="s">
        <v>782</v>
      </c>
      <c r="O245" s="116">
        <v>0.8</v>
      </c>
      <c r="P245" s="113">
        <v>0</v>
      </c>
      <c r="Q245" s="151">
        <f ca="1">CalculateInvestment($N$73,N245,O245,$F245:$J245,P245,$F$28,E245)</f>
        <v>79.999999999999986</v>
      </c>
      <c r="R245" s="107"/>
    </row>
    <row r="246" spans="2:18" x14ac:dyDescent="0.25">
      <c r="D246" s="55" t="s">
        <v>703</v>
      </c>
      <c r="E246" s="106"/>
      <c r="F246" s="101">
        <v>500</v>
      </c>
      <c r="G246" s="102">
        <v>400</v>
      </c>
      <c r="H246" s="103">
        <v>300</v>
      </c>
      <c r="M246" s="120" t="str">
        <f t="shared" si="3"/>
        <v>Generator Spares →</v>
      </c>
      <c r="N246" s="107" t="s">
        <v>780</v>
      </c>
      <c r="O246" s="116" t="s">
        <v>632</v>
      </c>
      <c r="P246" s="113">
        <v>0</v>
      </c>
      <c r="Q246" s="151">
        <f ca="1">CalculateInvestment($N$73,N246,O246,$F246:$J246,P246,$F$28,E246)</f>
        <v>0</v>
      </c>
      <c r="R246" s="107"/>
    </row>
    <row r="247" spans="2:18" x14ac:dyDescent="0.25">
      <c r="D247" s="55" t="s">
        <v>704</v>
      </c>
      <c r="E247" s="106"/>
      <c r="F247" s="101">
        <v>700</v>
      </c>
      <c r="G247" s="102">
        <v>500</v>
      </c>
      <c r="H247" s="103">
        <v>400</v>
      </c>
      <c r="J247" s="112" t="s">
        <v>75</v>
      </c>
      <c r="M247" s="120" t="str">
        <f t="shared" si="3"/>
        <v>Consumables →</v>
      </c>
      <c r="N247" s="107" t="s">
        <v>782</v>
      </c>
      <c r="O247" s="116">
        <v>0.8</v>
      </c>
      <c r="P247" s="113">
        <v>0</v>
      </c>
      <c r="Q247" s="151">
        <f ca="1">CalculateInvestment($N$73,N247,O247,$F247:$J247,P247,$F$28,E247)</f>
        <v>99.999999999999972</v>
      </c>
      <c r="R247" s="107"/>
    </row>
    <row r="248" spans="2:18" x14ac:dyDescent="0.25">
      <c r="Q248" s="108"/>
    </row>
    <row r="249" spans="2:18" ht="15.75" thickBot="1" x14ac:dyDescent="0.3">
      <c r="F249" s="136">
        <f>SUM(F98:F248)</f>
        <v>296045</v>
      </c>
      <c r="G249" s="136">
        <f>SUM(G98:G248)</f>
        <v>197840</v>
      </c>
      <c r="H249" s="136">
        <f>SUM(H98:H248)</f>
        <v>138850</v>
      </c>
      <c r="M249" t="s">
        <v>673</v>
      </c>
      <c r="Q249" s="153">
        <f ca="1">SUM(Q98:Q248)</f>
        <v>4820</v>
      </c>
    </row>
    <row r="250" spans="2:18" ht="15.75" thickTop="1" x14ac:dyDescent="0.25">
      <c r="Q250" s="108"/>
    </row>
    <row r="251" spans="2:18" x14ac:dyDescent="0.25">
      <c r="B251" s="109" t="s">
        <v>372</v>
      </c>
      <c r="C251" s="109"/>
      <c r="D251" s="109"/>
      <c r="E251" s="110"/>
      <c r="F251" s="111"/>
      <c r="G251" s="111"/>
      <c r="H251" s="111"/>
      <c r="I251" s="111"/>
      <c r="J251" s="111"/>
      <c r="M251" s="109" t="s">
        <v>372</v>
      </c>
      <c r="N251" s="111"/>
      <c r="O251" s="111"/>
      <c r="P251" s="111"/>
      <c r="Q251" s="154"/>
      <c r="R251" s="111"/>
    </row>
    <row r="252" spans="2:18" x14ac:dyDescent="0.25">
      <c r="Q252" s="108"/>
    </row>
    <row r="253" spans="2:18" x14ac:dyDescent="0.25">
      <c r="D253" s="55" t="s">
        <v>705</v>
      </c>
      <c r="E253" s="106"/>
      <c r="F253" s="101">
        <v>2500</v>
      </c>
      <c r="G253" s="102">
        <v>2400</v>
      </c>
      <c r="H253" s="103">
        <v>2300</v>
      </c>
      <c r="J253" s="112" t="s">
        <v>75</v>
      </c>
      <c r="M253" s="120" t="str">
        <f t="shared" si="3"/>
        <v>Fixed Solar System 1kW →</v>
      </c>
      <c r="N253" s="107" t="s">
        <v>782</v>
      </c>
      <c r="O253" s="116" t="s">
        <v>632</v>
      </c>
      <c r="P253" s="113">
        <v>1000</v>
      </c>
      <c r="Q253" s="151">
        <f ca="1">CalculateInvestment($N$73,N253,O253,$F253:$J253,P253,$F$28,E253)</f>
        <v>1000</v>
      </c>
      <c r="R253" s="107"/>
    </row>
    <row r="254" spans="2:18" x14ac:dyDescent="0.25">
      <c r="D254" s="55" t="s">
        <v>706</v>
      </c>
      <c r="E254" s="106"/>
      <c r="F254" s="101">
        <v>2600</v>
      </c>
      <c r="G254" s="102">
        <v>2500</v>
      </c>
      <c r="H254" s="103">
        <v>2400</v>
      </c>
      <c r="J254" s="112" t="s">
        <v>75</v>
      </c>
      <c r="M254" s="120" t="str">
        <f t="shared" si="3"/>
        <v>Removeable Solar System 1kW →</v>
      </c>
      <c r="N254" s="107" t="s">
        <v>783</v>
      </c>
      <c r="O254" s="116" t="s">
        <v>632</v>
      </c>
      <c r="P254" s="113">
        <v>0</v>
      </c>
      <c r="Q254" s="151">
        <f ca="1">CalculateInvestment($N$73,N254,O254,$F254:$J254,P254,$F$28,E254)</f>
        <v>2500</v>
      </c>
      <c r="R254" s="107"/>
    </row>
    <row r="255" spans="2:18" x14ac:dyDescent="0.25">
      <c r="D255" s="55" t="s">
        <v>707</v>
      </c>
      <c r="E255" s="106"/>
      <c r="F255" s="101">
        <v>2200</v>
      </c>
      <c r="G255" s="102">
        <v>2100</v>
      </c>
      <c r="H255" s="103">
        <v>2100</v>
      </c>
      <c r="J255" s="112" t="s">
        <v>75</v>
      </c>
      <c r="M255" s="120" t="str">
        <f t="shared" si="3"/>
        <v>High Output Alternator →</v>
      </c>
      <c r="N255" s="107" t="s">
        <v>783</v>
      </c>
      <c r="O255" s="116" t="s">
        <v>632</v>
      </c>
      <c r="P255" s="113">
        <v>0</v>
      </c>
      <c r="Q255" s="151">
        <f ca="1">CalculateInvestment($N$73,N255,O255,$F255:$J255,P255,$F$28,E255)</f>
        <v>2100</v>
      </c>
      <c r="R255" s="107"/>
    </row>
    <row r="256" spans="2:18" x14ac:dyDescent="0.25">
      <c r="D256" s="55" t="s">
        <v>708</v>
      </c>
      <c r="E256" s="106"/>
      <c r="F256" s="101">
        <v>3800</v>
      </c>
      <c r="G256" s="102">
        <v>2700</v>
      </c>
      <c r="H256" s="103">
        <v>2700</v>
      </c>
      <c r="J256" s="112" t="s">
        <v>75</v>
      </c>
      <c r="M256" s="120" t="str">
        <f t="shared" si="3"/>
        <v>10 kWh House Batteries →</v>
      </c>
      <c r="N256" s="107" t="s">
        <v>783</v>
      </c>
      <c r="O256" s="116" t="s">
        <v>632</v>
      </c>
      <c r="P256" s="113">
        <v>0</v>
      </c>
      <c r="Q256" s="151">
        <f ca="1">CalculateInvestment($N$73,N256,O256,$F256:$J256,P256,$F$28,E256)</f>
        <v>2700</v>
      </c>
      <c r="R256" s="107"/>
    </row>
    <row r="257" spans="4:18" x14ac:dyDescent="0.25">
      <c r="D257" s="55" t="s">
        <v>709</v>
      </c>
      <c r="E257" s="106"/>
      <c r="F257" s="101">
        <v>2700</v>
      </c>
      <c r="G257" s="102">
        <v>1800</v>
      </c>
      <c r="H257" s="103">
        <v>1200</v>
      </c>
      <c r="J257" s="112" t="s">
        <v>75</v>
      </c>
      <c r="M257" s="120" t="str">
        <f t="shared" si="3"/>
        <v>Inverter And Battery Charger →</v>
      </c>
      <c r="N257" s="107" t="s">
        <v>782</v>
      </c>
      <c r="O257" s="116">
        <v>0.8</v>
      </c>
      <c r="P257" s="113">
        <v>0</v>
      </c>
      <c r="Q257" s="151">
        <f ca="1">CalculateInvestment($N$73,N257,O257,$F257:$J257,P257,$F$28,E257)</f>
        <v>359.99999999999994</v>
      </c>
      <c r="R257" s="107"/>
    </row>
    <row r="258" spans="4:18" x14ac:dyDescent="0.25">
      <c r="D258" s="55" t="s">
        <v>710</v>
      </c>
      <c r="E258" s="106"/>
      <c r="F258" s="101">
        <v>900</v>
      </c>
      <c r="G258" s="102">
        <v>750</v>
      </c>
      <c r="H258" s="103">
        <v>500</v>
      </c>
      <c r="M258" s="120" t="str">
        <f t="shared" si="3"/>
        <v>Windlass Dedicated Battery →</v>
      </c>
      <c r="N258" s="107" t="s">
        <v>783</v>
      </c>
      <c r="O258" s="116" t="s">
        <v>632</v>
      </c>
      <c r="P258" s="113">
        <v>0</v>
      </c>
      <c r="Q258" s="151">
        <f ca="1">CalculateInvestment($N$73,N258,O258,$F258:$J258,P258,$F$28,E258)</f>
        <v>750</v>
      </c>
      <c r="R258" s="107"/>
    </row>
    <row r="259" spans="4:18" x14ac:dyDescent="0.25">
      <c r="D259" s="55" t="s">
        <v>39</v>
      </c>
      <c r="E259" s="105"/>
      <c r="F259" s="101">
        <v>1500</v>
      </c>
      <c r="G259" s="102">
        <v>900</v>
      </c>
      <c r="H259" s="103">
        <v>700</v>
      </c>
      <c r="J259" s="112" t="s">
        <v>75</v>
      </c>
      <c r="M259" s="120" t="str">
        <f>$D259</f>
        <v>Starlink</v>
      </c>
      <c r="N259" s="107" t="s">
        <v>772</v>
      </c>
      <c r="O259" s="116" t="s">
        <v>632</v>
      </c>
      <c r="P259" s="113">
        <v>0</v>
      </c>
      <c r="Q259" s="151">
        <f ca="1">CalculateInvestment($N$73,N259,O259,$F259:$J259,P259,$F$28,E259)</f>
        <v>900</v>
      </c>
      <c r="R259" s="107"/>
    </row>
    <row r="260" spans="4:18" x14ac:dyDescent="0.25">
      <c r="D260" s="55" t="s">
        <v>711</v>
      </c>
      <c r="E260" s="106"/>
      <c r="F260" s="101">
        <v>3500</v>
      </c>
      <c r="G260" s="102">
        <v>3000</v>
      </c>
      <c r="H260" s="103">
        <v>2500</v>
      </c>
      <c r="J260" s="112" t="s">
        <v>75</v>
      </c>
      <c r="M260" s="120" t="str">
        <f t="shared" si="3"/>
        <v>Working Computer →</v>
      </c>
      <c r="N260" s="107" t="s">
        <v>783</v>
      </c>
      <c r="O260" s="116" t="s">
        <v>632</v>
      </c>
      <c r="P260" s="113">
        <v>0</v>
      </c>
      <c r="Q260" s="151">
        <f ca="1">CalculateInvestment($N$73,N260,O260,$F260:$J260,P260,$F$28,E260)</f>
        <v>3000</v>
      </c>
      <c r="R260" s="107"/>
    </row>
    <row r="261" spans="4:18" x14ac:dyDescent="0.25">
      <c r="D261" s="55" t="s">
        <v>792</v>
      </c>
      <c r="E261" s="106"/>
      <c r="F261" s="101">
        <v>1300</v>
      </c>
      <c r="G261" s="102">
        <v>900</v>
      </c>
      <c r="H261" s="103">
        <v>600</v>
      </c>
      <c r="M261" s="120" t="str">
        <f t="shared" si="3"/>
        <v>Navigationg Computer →</v>
      </c>
      <c r="N261" s="107" t="s">
        <v>783</v>
      </c>
      <c r="O261" s="116" t="s">
        <v>632</v>
      </c>
      <c r="P261" s="113">
        <v>0</v>
      </c>
      <c r="Q261" s="151">
        <f ca="1">CalculateInvestment($N$73,N261,O261,$F261:$J261,P261,$F$28,E261)</f>
        <v>900</v>
      </c>
      <c r="R261" s="107"/>
    </row>
    <row r="262" spans="4:18" x14ac:dyDescent="0.25">
      <c r="D262" s="55" t="s">
        <v>712</v>
      </c>
      <c r="E262" s="106"/>
      <c r="F262" s="101">
        <v>800</v>
      </c>
      <c r="G262" s="102">
        <v>600</v>
      </c>
      <c r="H262" s="103">
        <v>500</v>
      </c>
      <c r="J262" s="112" t="s">
        <v>75</v>
      </c>
      <c r="M262" s="120" t="str">
        <f t="shared" si="3"/>
        <v>DIY Tools →</v>
      </c>
      <c r="N262" s="107" t="s">
        <v>783</v>
      </c>
      <c r="O262" s="116" t="s">
        <v>632</v>
      </c>
      <c r="P262" s="113">
        <v>0</v>
      </c>
      <c r="Q262" s="151">
        <f ca="1">CalculateInvestment($N$73,N262,O262,$F262:$J262,P262,$F$28,E262)</f>
        <v>600</v>
      </c>
      <c r="R262" s="107"/>
    </row>
    <row r="263" spans="4:18" x14ac:dyDescent="0.25">
      <c r="D263" s="55" t="s">
        <v>713</v>
      </c>
      <c r="E263" s="106"/>
      <c r="F263" s="101">
        <v>500</v>
      </c>
      <c r="G263" s="102">
        <v>300</v>
      </c>
      <c r="H263" s="103">
        <v>300</v>
      </c>
      <c r="M263" s="120" t="str">
        <f t="shared" si="3"/>
        <v>Dry Cabinet →</v>
      </c>
      <c r="N263" s="107" t="s">
        <v>783</v>
      </c>
      <c r="O263" s="116" t="s">
        <v>632</v>
      </c>
      <c r="P263" s="113">
        <v>0</v>
      </c>
      <c r="Q263" s="151">
        <f ca="1">CalculateInvestment($N$73,N263,O263,$F263:$J263,P263,$F$28,E263)</f>
        <v>300</v>
      </c>
      <c r="R263" s="107"/>
    </row>
    <row r="264" spans="4:18" x14ac:dyDescent="0.25">
      <c r="D264" s="55" t="s">
        <v>714</v>
      </c>
      <c r="E264" s="106"/>
      <c r="F264" s="101">
        <v>900</v>
      </c>
      <c r="G264" s="102">
        <v>600</v>
      </c>
      <c r="H264" s="103">
        <v>500</v>
      </c>
      <c r="J264" s="112" t="s">
        <v>75</v>
      </c>
      <c r="M264" s="120" t="str">
        <f t="shared" si="3"/>
        <v>Dinghy Accessories / Upgrades →</v>
      </c>
      <c r="N264" s="107" t="s">
        <v>782</v>
      </c>
      <c r="O264" s="116">
        <v>0.5</v>
      </c>
      <c r="P264" s="113">
        <v>0</v>
      </c>
      <c r="Q264" s="151">
        <f ca="1">CalculateInvestment($N$73,N264,O264,$F264:$J264,P264,$F$28,E264)</f>
        <v>300</v>
      </c>
      <c r="R264" s="107"/>
    </row>
    <row r="265" spans="4:18" x14ac:dyDescent="0.25">
      <c r="D265" s="55" t="s">
        <v>742</v>
      </c>
      <c r="E265" s="106"/>
      <c r="F265" s="101">
        <v>3000</v>
      </c>
      <c r="G265" s="102">
        <v>2000</v>
      </c>
      <c r="H265" s="103">
        <v>1000</v>
      </c>
      <c r="M265" s="120" t="str">
        <f t="shared" si="3"/>
        <v>Personal Items →</v>
      </c>
      <c r="N265" s="107" t="s">
        <v>783</v>
      </c>
      <c r="O265" s="116" t="s">
        <v>632</v>
      </c>
      <c r="P265" s="113">
        <v>0</v>
      </c>
      <c r="Q265" s="151">
        <f ca="1">CalculateInvestment($N$73,N265,O265,$F265:$J265,P265,$F$28,E265)</f>
        <v>2000</v>
      </c>
      <c r="R265" s="107"/>
    </row>
    <row r="266" spans="4:18" x14ac:dyDescent="0.25">
      <c r="Q266" s="108"/>
    </row>
    <row r="267" spans="4:18" ht="15.75" thickBot="1" x14ac:dyDescent="0.3">
      <c r="F267" s="136">
        <f>SUM(F253:F265)</f>
        <v>26200</v>
      </c>
      <c r="G267" s="136">
        <f>SUM(G253:G265)</f>
        <v>20550</v>
      </c>
      <c r="H267" s="136">
        <f>SUM(H253:H265)</f>
        <v>17300</v>
      </c>
      <c r="M267" t="s">
        <v>672</v>
      </c>
      <c r="Q267" s="153">
        <f ca="1">SUM(Q253:Q265)</f>
        <v>17410</v>
      </c>
    </row>
    <row r="268" spans="4:18" ht="15.75" thickTop="1" x14ac:dyDescent="0.25">
      <c r="R268"/>
    </row>
    <row r="269" spans="4:18" x14ac:dyDescent="0.25">
      <c r="Q269" s="52"/>
      <c r="R269"/>
    </row>
    <row r="276" spans="4:18" x14ac:dyDescent="0.25">
      <c r="D276" s="56"/>
      <c r="F276"/>
      <c r="G276"/>
      <c r="H276"/>
      <c r="R276"/>
    </row>
    <row r="277" spans="4:18" x14ac:dyDescent="0.25">
      <c r="D277" s="56"/>
      <c r="F277"/>
      <c r="G277"/>
      <c r="H277"/>
      <c r="R277"/>
    </row>
    <row r="278" spans="4:18" x14ac:dyDescent="0.25">
      <c r="D278" s="56"/>
      <c r="F278"/>
      <c r="G278"/>
      <c r="H278"/>
      <c r="R278"/>
    </row>
    <row r="279" spans="4:18" x14ac:dyDescent="0.25">
      <c r="F279"/>
      <c r="G279"/>
      <c r="H279"/>
      <c r="R279"/>
    </row>
    <row r="280" spans="4:18" x14ac:dyDescent="0.25">
      <c r="F280"/>
      <c r="G280"/>
      <c r="H280"/>
      <c r="R280"/>
    </row>
    <row r="281" spans="4:18" x14ac:dyDescent="0.25">
      <c r="F281"/>
      <c r="G281"/>
      <c r="H281"/>
      <c r="R281"/>
    </row>
    <row r="282" spans="4:18" x14ac:dyDescent="0.25">
      <c r="F282"/>
      <c r="G282"/>
      <c r="H282"/>
      <c r="R282"/>
    </row>
    <row r="283" spans="4:18" x14ac:dyDescent="0.25">
      <c r="F283"/>
      <c r="G283"/>
      <c r="H283"/>
      <c r="R283"/>
    </row>
    <row r="284" spans="4:18" x14ac:dyDescent="0.25">
      <c r="E284"/>
      <c r="F284"/>
      <c r="G284"/>
      <c r="H284"/>
      <c r="J284"/>
      <c r="M284"/>
      <c r="P284"/>
      <c r="R284"/>
    </row>
    <row r="285" spans="4:18" x14ac:dyDescent="0.25">
      <c r="E285"/>
      <c r="F285"/>
      <c r="G285"/>
      <c r="H285"/>
      <c r="J285"/>
      <c r="M285"/>
      <c r="P285"/>
      <c r="R285"/>
    </row>
    <row r="286" spans="4:18" x14ac:dyDescent="0.25">
      <c r="E286"/>
      <c r="F286"/>
      <c r="G286"/>
      <c r="H286"/>
      <c r="J286"/>
      <c r="M286"/>
      <c r="P286"/>
      <c r="R286"/>
    </row>
    <row r="287" spans="4:18" x14ac:dyDescent="0.25">
      <c r="E287"/>
      <c r="F287"/>
      <c r="G287"/>
      <c r="H287"/>
      <c r="J287"/>
      <c r="M287"/>
      <c r="P287"/>
      <c r="R287"/>
    </row>
    <row r="288" spans="4:18" x14ac:dyDescent="0.25">
      <c r="E288"/>
      <c r="F288"/>
      <c r="G288"/>
      <c r="H288"/>
      <c r="J288"/>
      <c r="M288"/>
      <c r="P288"/>
      <c r="R288"/>
    </row>
    <row r="289" customFormat="1" x14ac:dyDescent="0.25"/>
    <row r="290" customFormat="1" x14ac:dyDescent="0.25"/>
  </sheetData>
  <mergeCells count="20">
    <mergeCell ref="F14:H14"/>
    <mergeCell ref="F18:H18"/>
    <mergeCell ref="F23:H23"/>
    <mergeCell ref="F24:H24"/>
    <mergeCell ref="F25:H25"/>
    <mergeCell ref="F16:H16"/>
    <mergeCell ref="F19:H19"/>
    <mergeCell ref="F20:H20"/>
    <mergeCell ref="F21:H21"/>
    <mergeCell ref="F22:H22"/>
    <mergeCell ref="F15:H15"/>
    <mergeCell ref="F12:H12"/>
    <mergeCell ref="F11:H11"/>
    <mergeCell ref="F10:H10"/>
    <mergeCell ref="F9:H9"/>
    <mergeCell ref="F8:H8"/>
    <mergeCell ref="F6:H6"/>
    <mergeCell ref="F5:H5"/>
    <mergeCell ref="F4:H4"/>
    <mergeCell ref="F2:H2"/>
  </mergeCells>
  <conditionalFormatting sqref="N153:N156">
    <cfRule type="cellIs" dxfId="557" priority="1085" operator="equal">
      <formula>"Repair"</formula>
    </cfRule>
    <cfRule type="cellIs" dxfId="556" priority="1087" operator="equal">
      <formula>"Dispose"</formula>
    </cfRule>
  </conditionalFormatting>
  <conditionalFormatting sqref="N73">
    <cfRule type="cellIs" dxfId="555" priority="910" operator="equal">
      <formula>"Replace"</formula>
    </cfRule>
  </conditionalFormatting>
  <conditionalFormatting sqref="N73">
    <cfRule type="cellIs" dxfId="554" priority="907" operator="equal">
      <formula>"Unknown"</formula>
    </cfRule>
  </conditionalFormatting>
  <conditionalFormatting sqref="N73">
    <cfRule type="cellIs" dxfId="553" priority="908" operator="equal">
      <formula>"Good"</formula>
    </cfRule>
  </conditionalFormatting>
  <conditionalFormatting sqref="N73">
    <cfRule type="cellIs" dxfId="552" priority="909" operator="equal">
      <formula>"Repair"</formula>
    </cfRule>
    <cfRule type="cellIs" dxfId="551" priority="911" operator="equal">
      <formula>"Dispose"</formula>
    </cfRule>
  </conditionalFormatting>
  <conditionalFormatting sqref="N153:N156">
    <cfRule type="cellIs" dxfId="550" priority="699" operator="equal">
      <formula>"Repair"</formula>
    </cfRule>
    <cfRule type="cellIs" dxfId="549" priority="700" operator="equal">
      <formula>"Dispose"</formula>
    </cfRule>
  </conditionalFormatting>
  <conditionalFormatting sqref="N153:N156">
    <cfRule type="cellIs" dxfId="548" priority="698" operator="equal">
      <formula>"Missing"</formula>
    </cfRule>
  </conditionalFormatting>
  <conditionalFormatting sqref="N153:N156">
    <cfRule type="cellIs" dxfId="547" priority="551" operator="equal">
      <formula>"Repair"</formula>
    </cfRule>
    <cfRule type="cellIs" dxfId="546" priority="553" operator="equal">
      <formula>"Dispose"</formula>
    </cfRule>
  </conditionalFormatting>
  <conditionalFormatting sqref="N153:N156">
    <cfRule type="cellIs" dxfId="545" priority="552" operator="equal">
      <formula>"Missing"</formula>
    </cfRule>
  </conditionalFormatting>
  <conditionalFormatting sqref="Q98:Q105 Q186:Q188 Q259">
    <cfRule type="cellIs" dxfId="544" priority="418" operator="equal">
      <formula>"REQUIRED"</formula>
    </cfRule>
  </conditionalFormatting>
  <conditionalFormatting sqref="Q107:Q110">
    <cfRule type="cellIs" dxfId="543" priority="417" operator="equal">
      <formula>"REQUIRED"</formula>
    </cfRule>
  </conditionalFormatting>
  <conditionalFormatting sqref="Q112:Q132">
    <cfRule type="cellIs" dxfId="542" priority="416" operator="equal">
      <formula>"REQUIRED"</formula>
    </cfRule>
  </conditionalFormatting>
  <conditionalFormatting sqref="Q136:Q139">
    <cfRule type="cellIs" dxfId="541" priority="415" operator="equal">
      <formula>"REQUIRED"</formula>
    </cfRule>
  </conditionalFormatting>
  <conditionalFormatting sqref="Q141:Q149">
    <cfRule type="cellIs" dxfId="540" priority="414" operator="equal">
      <formula>"REQUIRED"</formula>
    </cfRule>
  </conditionalFormatting>
  <conditionalFormatting sqref="Q151">
    <cfRule type="cellIs" dxfId="539" priority="413" operator="equal">
      <formula>"REQUIRED"</formula>
    </cfRule>
  </conditionalFormatting>
  <conditionalFormatting sqref="Q153:Q156">
    <cfRule type="cellIs" dxfId="538" priority="412" operator="equal">
      <formula>"REQUIRED"</formula>
    </cfRule>
  </conditionalFormatting>
  <conditionalFormatting sqref="Q158:Q162">
    <cfRule type="cellIs" dxfId="537" priority="411" operator="equal">
      <formula>"REQUIRED"</formula>
    </cfRule>
  </conditionalFormatting>
  <conditionalFormatting sqref="Q164:Q165">
    <cfRule type="cellIs" dxfId="536" priority="410" operator="equal">
      <formula>"REQUIRED"</formula>
    </cfRule>
  </conditionalFormatting>
  <conditionalFormatting sqref="Q167:Q171">
    <cfRule type="cellIs" dxfId="535" priority="409" operator="equal">
      <formula>"REQUIRED"</formula>
    </cfRule>
  </conditionalFormatting>
  <conditionalFormatting sqref="Q173:Q175">
    <cfRule type="cellIs" dxfId="534" priority="408" operator="equal">
      <formula>"REQUIRED"</formula>
    </cfRule>
  </conditionalFormatting>
  <conditionalFormatting sqref="Q177:Q184">
    <cfRule type="cellIs" dxfId="533" priority="407" operator="equal">
      <formula>"REQUIRED"</formula>
    </cfRule>
  </conditionalFormatting>
  <conditionalFormatting sqref="Q190:Q193">
    <cfRule type="cellIs" dxfId="532" priority="405" operator="equal">
      <formula>"REQUIRED"</formula>
    </cfRule>
  </conditionalFormatting>
  <conditionalFormatting sqref="Q197:Q199">
    <cfRule type="cellIs" dxfId="531" priority="404" operator="equal">
      <formula>"REQUIRED"</formula>
    </cfRule>
  </conditionalFormatting>
  <conditionalFormatting sqref="Q200">
    <cfRule type="cellIs" dxfId="530" priority="403" operator="equal">
      <formula>"REQUIRED"</formula>
    </cfRule>
  </conditionalFormatting>
  <conditionalFormatting sqref="Q202:Q208">
    <cfRule type="cellIs" dxfId="529" priority="402" operator="equal">
      <formula>"REQUIRED"</formula>
    </cfRule>
  </conditionalFormatting>
  <conditionalFormatting sqref="Q210:Q213">
    <cfRule type="cellIs" dxfId="528" priority="401" operator="equal">
      <formula>"REQUIRED"</formula>
    </cfRule>
  </conditionalFormatting>
  <conditionalFormatting sqref="Q216:Q227">
    <cfRule type="cellIs" dxfId="527" priority="400" operator="equal">
      <formula>"REQUIRED"</formula>
    </cfRule>
  </conditionalFormatting>
  <conditionalFormatting sqref="Q230:Q232">
    <cfRule type="cellIs" dxfId="526" priority="399" operator="equal">
      <formula>"REQUIRED"</formula>
    </cfRule>
  </conditionalFormatting>
  <conditionalFormatting sqref="Q236:Q238">
    <cfRule type="cellIs" dxfId="525" priority="398" operator="equal">
      <formula>"REQUIRED"</formula>
    </cfRule>
  </conditionalFormatting>
  <conditionalFormatting sqref="Q240:Q246">
    <cfRule type="cellIs" dxfId="524" priority="397" operator="equal">
      <formula>"REQUIRED"</formula>
    </cfRule>
  </conditionalFormatting>
  <conditionalFormatting sqref="Q247">
    <cfRule type="cellIs" dxfId="523" priority="396" operator="equal">
      <formula>"REQUIRED"</formula>
    </cfRule>
  </conditionalFormatting>
  <conditionalFormatting sqref="Q253:Q265">
    <cfRule type="cellIs" dxfId="522" priority="395" operator="equal">
      <formula>"REQUIRED"</formula>
    </cfRule>
  </conditionalFormatting>
  <conditionalFormatting sqref="N102 N143:N146 N104:N106 N111:N124 N126:N140 P91:Q91 P93:P94 N149:N265">
    <cfRule type="cellIs" dxfId="521" priority="200" operator="equal">
      <formula>"Unknown"</formula>
    </cfRule>
    <cfRule type="cellIs" dxfId="520" priority="394" operator="equal">
      <formula>"Good"</formula>
    </cfRule>
    <cfRule type="cellIs" dxfId="519" priority="731" operator="equal">
      <formula>"Repair"</formula>
    </cfRule>
    <cfRule type="cellIs" dxfId="518" priority="1093" operator="equal">
      <formula>"Replace"</formula>
    </cfRule>
    <cfRule type="cellIs" dxfId="517" priority="1094" operator="equal">
      <formula>"Improve"</formula>
    </cfRule>
    <cfRule type="cellIs" dxfId="516" priority="1098" operator="equal">
      <formula>"Missing"</formula>
    </cfRule>
    <cfRule type="cellIs" dxfId="515" priority="1101" operator="equal">
      <formula>"Dispose"</formula>
    </cfRule>
    <cfRule type="cellIs" dxfId="514" priority="1106" operator="equal">
      <formula>"Ignore"</formula>
    </cfRule>
  </conditionalFormatting>
  <conditionalFormatting sqref="N112:N124 N126:N132">
    <cfRule type="cellIs" dxfId="513" priority="383" operator="equal">
      <formula>"Replace"</formula>
    </cfRule>
  </conditionalFormatting>
  <conditionalFormatting sqref="N112:N124 N126:N132">
    <cfRule type="cellIs" dxfId="512" priority="380" operator="equal">
      <formula>"Unknown"</formula>
    </cfRule>
  </conditionalFormatting>
  <conditionalFormatting sqref="N112:N124 N126:N132">
    <cfRule type="cellIs" dxfId="511" priority="381" operator="equal">
      <formula>"Good"</formula>
    </cfRule>
  </conditionalFormatting>
  <conditionalFormatting sqref="N112:N124 N126:N132">
    <cfRule type="cellIs" dxfId="510" priority="382" operator="equal">
      <formula>"Repair"</formula>
    </cfRule>
    <cfRule type="cellIs" dxfId="509" priority="385" operator="equal">
      <formula>"Dispose"</formula>
    </cfRule>
  </conditionalFormatting>
  <conditionalFormatting sqref="N112:N124 N126:N132">
    <cfRule type="cellIs" dxfId="508" priority="384" operator="equal">
      <formula>"Missing"</formula>
    </cfRule>
  </conditionalFormatting>
  <conditionalFormatting sqref="N112:N124 N126:N132 N186:N188 N259">
    <cfRule type="cellIs" dxfId="507" priority="386" operator="equal">
      <formula>"Ignore"</formula>
    </cfRule>
  </conditionalFormatting>
  <conditionalFormatting sqref="N136:N139">
    <cfRule type="cellIs" dxfId="506" priority="376" operator="equal">
      <formula>"Replace"</formula>
    </cfRule>
  </conditionalFormatting>
  <conditionalFormatting sqref="N136:N139">
    <cfRule type="cellIs" dxfId="505" priority="373" operator="equal">
      <formula>"Unknown"</formula>
    </cfRule>
  </conditionalFormatting>
  <conditionalFormatting sqref="N136:N139">
    <cfRule type="cellIs" dxfId="504" priority="374" operator="equal">
      <formula>"Good"</formula>
    </cfRule>
  </conditionalFormatting>
  <conditionalFormatting sqref="N136:N139">
    <cfRule type="cellIs" dxfId="503" priority="375" operator="equal">
      <formula>"Repair"</formula>
    </cfRule>
    <cfRule type="cellIs" dxfId="502" priority="378" operator="equal">
      <formula>"Dispose"</formula>
    </cfRule>
  </conditionalFormatting>
  <conditionalFormatting sqref="N136:N139">
    <cfRule type="cellIs" dxfId="501" priority="377" operator="equal">
      <formula>"Missing"</formula>
    </cfRule>
  </conditionalFormatting>
  <conditionalFormatting sqref="N136:N139">
    <cfRule type="cellIs" dxfId="500" priority="379" operator="equal">
      <formula>"Ignore"</formula>
    </cfRule>
  </conditionalFormatting>
  <conditionalFormatting sqref="N143:N146 N149">
    <cfRule type="cellIs" dxfId="499" priority="369" operator="equal">
      <formula>"Replace"</formula>
    </cfRule>
  </conditionalFormatting>
  <conditionalFormatting sqref="N143:N146 N149">
    <cfRule type="cellIs" dxfId="498" priority="366" operator="equal">
      <formula>"Unknown"</formula>
    </cfRule>
  </conditionalFormatting>
  <conditionalFormatting sqref="N143:N146 N149">
    <cfRule type="cellIs" dxfId="497" priority="367" operator="equal">
      <formula>"Good"</formula>
    </cfRule>
  </conditionalFormatting>
  <conditionalFormatting sqref="N143:N146 N149">
    <cfRule type="cellIs" dxfId="496" priority="368" operator="equal">
      <formula>"Repair"</formula>
    </cfRule>
    <cfRule type="cellIs" dxfId="495" priority="371" operator="equal">
      <formula>"Dispose"</formula>
    </cfRule>
  </conditionalFormatting>
  <conditionalFormatting sqref="N143:N146 N149">
    <cfRule type="cellIs" dxfId="494" priority="370" operator="equal">
      <formula>"Missing"</formula>
    </cfRule>
  </conditionalFormatting>
  <conditionalFormatting sqref="N143:N146 N149">
    <cfRule type="cellIs" dxfId="493" priority="372" operator="equal">
      <formula>"Ignore"</formula>
    </cfRule>
  </conditionalFormatting>
  <conditionalFormatting sqref="N151">
    <cfRule type="cellIs" dxfId="492" priority="362" operator="equal">
      <formula>"Replace"</formula>
    </cfRule>
  </conditionalFormatting>
  <conditionalFormatting sqref="N151">
    <cfRule type="cellIs" dxfId="491" priority="359" operator="equal">
      <formula>"Unknown"</formula>
    </cfRule>
  </conditionalFormatting>
  <conditionalFormatting sqref="N151">
    <cfRule type="cellIs" dxfId="490" priority="360" operator="equal">
      <formula>"Good"</formula>
    </cfRule>
  </conditionalFormatting>
  <conditionalFormatting sqref="N151">
    <cfRule type="cellIs" dxfId="489" priority="361" operator="equal">
      <formula>"Repair"</formula>
    </cfRule>
    <cfRule type="cellIs" dxfId="488" priority="364" operator="equal">
      <formula>"Dispose"</formula>
    </cfRule>
  </conditionalFormatting>
  <conditionalFormatting sqref="N151">
    <cfRule type="cellIs" dxfId="487" priority="363" operator="equal">
      <formula>"Missing"</formula>
    </cfRule>
  </conditionalFormatting>
  <conditionalFormatting sqref="N151">
    <cfRule type="cellIs" dxfId="486" priority="365" operator="equal">
      <formula>"Ignore"</formula>
    </cfRule>
  </conditionalFormatting>
  <conditionalFormatting sqref="N153:N156">
    <cfRule type="cellIs" dxfId="485" priority="355" operator="equal">
      <formula>"Repair"</formula>
    </cfRule>
    <cfRule type="cellIs" dxfId="484" priority="357" operator="equal">
      <formula>"Dispose"</formula>
    </cfRule>
  </conditionalFormatting>
  <conditionalFormatting sqref="N153:N156">
    <cfRule type="cellIs" dxfId="483" priority="356" operator="equal">
      <formula>"Missing"</formula>
    </cfRule>
  </conditionalFormatting>
  <conditionalFormatting sqref="N153:N156">
    <cfRule type="cellIs" dxfId="482" priority="358" operator="equal">
      <formula>"Ignore"</formula>
    </cfRule>
  </conditionalFormatting>
  <conditionalFormatting sqref="N158:N162">
    <cfRule type="cellIs" dxfId="481" priority="351" operator="equal">
      <formula>"Replace"</formula>
    </cfRule>
  </conditionalFormatting>
  <conditionalFormatting sqref="N158:N162">
    <cfRule type="cellIs" dxfId="480" priority="348" operator="equal">
      <formula>"Unknown"</formula>
    </cfRule>
  </conditionalFormatting>
  <conditionalFormatting sqref="N158:N162">
    <cfRule type="cellIs" dxfId="479" priority="349" operator="equal">
      <formula>"Good"</formula>
    </cfRule>
  </conditionalFormatting>
  <conditionalFormatting sqref="N158:N162">
    <cfRule type="cellIs" dxfId="478" priority="350" operator="equal">
      <formula>"Repair"</formula>
    </cfRule>
    <cfRule type="cellIs" dxfId="477" priority="353" operator="equal">
      <formula>"Dispose"</formula>
    </cfRule>
  </conditionalFormatting>
  <conditionalFormatting sqref="N158:N162">
    <cfRule type="cellIs" dxfId="476" priority="352" operator="equal">
      <formula>"Missing"</formula>
    </cfRule>
  </conditionalFormatting>
  <conditionalFormatting sqref="N158:N162">
    <cfRule type="cellIs" dxfId="475" priority="354" operator="equal">
      <formula>"Ignore"</formula>
    </cfRule>
  </conditionalFormatting>
  <conditionalFormatting sqref="N164:N165">
    <cfRule type="cellIs" dxfId="474" priority="344" operator="equal">
      <formula>"Replace"</formula>
    </cfRule>
  </conditionalFormatting>
  <conditionalFormatting sqref="N164:N165">
    <cfRule type="cellIs" dxfId="473" priority="341" operator="equal">
      <formula>"Unknown"</formula>
    </cfRule>
  </conditionalFormatting>
  <conditionalFormatting sqref="N164:N165">
    <cfRule type="cellIs" dxfId="472" priority="342" operator="equal">
      <formula>"Good"</formula>
    </cfRule>
  </conditionalFormatting>
  <conditionalFormatting sqref="N164:N165">
    <cfRule type="cellIs" dxfId="471" priority="343" operator="equal">
      <formula>"Repair"</formula>
    </cfRule>
    <cfRule type="cellIs" dxfId="470" priority="346" operator="equal">
      <formula>"Dispose"</formula>
    </cfRule>
  </conditionalFormatting>
  <conditionalFormatting sqref="N164:N165">
    <cfRule type="cellIs" dxfId="469" priority="345" operator="equal">
      <formula>"Missing"</formula>
    </cfRule>
  </conditionalFormatting>
  <conditionalFormatting sqref="N164:N165">
    <cfRule type="cellIs" dxfId="468" priority="347" operator="equal">
      <formula>"Ignore"</formula>
    </cfRule>
  </conditionalFormatting>
  <conditionalFormatting sqref="N167:N171">
    <cfRule type="cellIs" dxfId="467" priority="337" operator="equal">
      <formula>"Replace"</formula>
    </cfRule>
  </conditionalFormatting>
  <conditionalFormatting sqref="N167:N171">
    <cfRule type="cellIs" dxfId="466" priority="334" operator="equal">
      <formula>"Unknown"</formula>
    </cfRule>
  </conditionalFormatting>
  <conditionalFormatting sqref="N167:N171">
    <cfRule type="cellIs" dxfId="465" priority="335" operator="equal">
      <formula>"Good"</formula>
    </cfRule>
  </conditionalFormatting>
  <conditionalFormatting sqref="N167:N171">
    <cfRule type="cellIs" dxfId="464" priority="336" operator="equal">
      <formula>"Repair"</formula>
    </cfRule>
    <cfRule type="cellIs" dxfId="463" priority="339" operator="equal">
      <formula>"Dispose"</formula>
    </cfRule>
  </conditionalFormatting>
  <conditionalFormatting sqref="N167:N171">
    <cfRule type="cellIs" dxfId="462" priority="338" operator="equal">
      <formula>"Missing"</formula>
    </cfRule>
  </conditionalFormatting>
  <conditionalFormatting sqref="N167:N171">
    <cfRule type="cellIs" dxfId="461" priority="340" operator="equal">
      <formula>"Ignore"</formula>
    </cfRule>
  </conditionalFormatting>
  <conditionalFormatting sqref="N173:N175">
    <cfRule type="cellIs" dxfId="460" priority="330" operator="equal">
      <formula>"Replace"</formula>
    </cfRule>
  </conditionalFormatting>
  <conditionalFormatting sqref="N173:N175">
    <cfRule type="cellIs" dxfId="459" priority="327" operator="equal">
      <formula>"Unknown"</formula>
    </cfRule>
  </conditionalFormatting>
  <conditionalFormatting sqref="N173:N175">
    <cfRule type="cellIs" dxfId="458" priority="328" operator="equal">
      <formula>"Good"</formula>
    </cfRule>
  </conditionalFormatting>
  <conditionalFormatting sqref="N173:N175">
    <cfRule type="cellIs" dxfId="457" priority="329" operator="equal">
      <formula>"Repair"</formula>
    </cfRule>
    <cfRule type="cellIs" dxfId="456" priority="332" operator="equal">
      <formula>"Dispose"</formula>
    </cfRule>
  </conditionalFormatting>
  <conditionalFormatting sqref="N173:N175">
    <cfRule type="cellIs" dxfId="455" priority="331" operator="equal">
      <formula>"Missing"</formula>
    </cfRule>
  </conditionalFormatting>
  <conditionalFormatting sqref="N173:N175">
    <cfRule type="cellIs" dxfId="454" priority="333" operator="equal">
      <formula>"Ignore"</formula>
    </cfRule>
  </conditionalFormatting>
  <conditionalFormatting sqref="N177:N184">
    <cfRule type="cellIs" dxfId="453" priority="326" operator="equal">
      <formula>"Ignore"</formula>
    </cfRule>
  </conditionalFormatting>
  <conditionalFormatting sqref="N190:N193">
    <cfRule type="cellIs" dxfId="452" priority="321" operator="equal">
      <formula>"Replace"</formula>
    </cfRule>
  </conditionalFormatting>
  <conditionalFormatting sqref="N190:N193">
    <cfRule type="cellIs" dxfId="451" priority="318" operator="equal">
      <formula>"Unknown"</formula>
    </cfRule>
  </conditionalFormatting>
  <conditionalFormatting sqref="N190:N193">
    <cfRule type="cellIs" dxfId="450" priority="319" operator="equal">
      <formula>"Good"</formula>
    </cfRule>
  </conditionalFormatting>
  <conditionalFormatting sqref="N190:N193">
    <cfRule type="cellIs" dxfId="449" priority="320" operator="equal">
      <formula>"Repair"</formula>
    </cfRule>
    <cfRule type="cellIs" dxfId="448" priority="323" operator="equal">
      <formula>"Dispose"</formula>
    </cfRule>
  </conditionalFormatting>
  <conditionalFormatting sqref="N190:N193">
    <cfRule type="cellIs" dxfId="447" priority="322" operator="equal">
      <formula>"Missing"</formula>
    </cfRule>
  </conditionalFormatting>
  <conditionalFormatting sqref="N190:N193">
    <cfRule type="cellIs" dxfId="446" priority="324" operator="equal">
      <formula>"Ignore"</formula>
    </cfRule>
  </conditionalFormatting>
  <conditionalFormatting sqref="N202:N208">
    <cfRule type="cellIs" dxfId="445" priority="300" operator="equal">
      <formula>"Replace"</formula>
    </cfRule>
  </conditionalFormatting>
  <conditionalFormatting sqref="N202:N208">
    <cfRule type="cellIs" dxfId="444" priority="297" operator="equal">
      <formula>"Unknown"</formula>
    </cfRule>
  </conditionalFormatting>
  <conditionalFormatting sqref="N202:N208">
    <cfRule type="cellIs" dxfId="443" priority="298" operator="equal">
      <formula>"Good"</formula>
    </cfRule>
  </conditionalFormatting>
  <conditionalFormatting sqref="N202:N208">
    <cfRule type="cellIs" dxfId="442" priority="299" operator="equal">
      <formula>"Repair"</formula>
    </cfRule>
    <cfRule type="cellIs" dxfId="441" priority="302" operator="equal">
      <formula>"Dispose"</formula>
    </cfRule>
  </conditionalFormatting>
  <conditionalFormatting sqref="N202:N208">
    <cfRule type="cellIs" dxfId="440" priority="301" operator="equal">
      <formula>"Missing"</formula>
    </cfRule>
  </conditionalFormatting>
  <conditionalFormatting sqref="N202:N208">
    <cfRule type="cellIs" dxfId="439" priority="303" operator="equal">
      <formula>"Ignore"</formula>
    </cfRule>
  </conditionalFormatting>
  <conditionalFormatting sqref="N210:N213">
    <cfRule type="cellIs" dxfId="438" priority="293" operator="equal">
      <formula>"Replace"</formula>
    </cfRule>
  </conditionalFormatting>
  <conditionalFormatting sqref="N210:N213">
    <cfRule type="cellIs" dxfId="437" priority="290" operator="equal">
      <formula>"Unknown"</formula>
    </cfRule>
  </conditionalFormatting>
  <conditionalFormatting sqref="N210:N213">
    <cfRule type="cellIs" dxfId="436" priority="291" operator="equal">
      <formula>"Good"</formula>
    </cfRule>
  </conditionalFormatting>
  <conditionalFormatting sqref="N210:N213">
    <cfRule type="cellIs" dxfId="435" priority="292" operator="equal">
      <formula>"Repair"</formula>
    </cfRule>
    <cfRule type="cellIs" dxfId="434" priority="295" operator="equal">
      <formula>"Dispose"</formula>
    </cfRule>
  </conditionalFormatting>
  <conditionalFormatting sqref="N210:N213">
    <cfRule type="cellIs" dxfId="433" priority="294" operator="equal">
      <formula>"Missing"</formula>
    </cfRule>
  </conditionalFormatting>
  <conditionalFormatting sqref="N210:N213">
    <cfRule type="cellIs" dxfId="432" priority="296" operator="equal">
      <formula>"Ignore"</formula>
    </cfRule>
  </conditionalFormatting>
  <conditionalFormatting sqref="N216:N227">
    <cfRule type="cellIs" dxfId="431" priority="286" operator="equal">
      <formula>"Replace"</formula>
    </cfRule>
  </conditionalFormatting>
  <conditionalFormatting sqref="N216:N227">
    <cfRule type="cellIs" dxfId="430" priority="283" operator="equal">
      <formula>"Unknown"</formula>
    </cfRule>
  </conditionalFormatting>
  <conditionalFormatting sqref="N216:N227">
    <cfRule type="cellIs" dxfId="429" priority="284" operator="equal">
      <formula>"Good"</formula>
    </cfRule>
  </conditionalFormatting>
  <conditionalFormatting sqref="N216:N227">
    <cfRule type="cellIs" dxfId="428" priority="285" operator="equal">
      <formula>"Repair"</formula>
    </cfRule>
    <cfRule type="cellIs" dxfId="427" priority="288" operator="equal">
      <formula>"Dispose"</formula>
    </cfRule>
  </conditionalFormatting>
  <conditionalFormatting sqref="N216:N227">
    <cfRule type="cellIs" dxfId="426" priority="287" operator="equal">
      <formula>"Missing"</formula>
    </cfRule>
  </conditionalFormatting>
  <conditionalFormatting sqref="N216:N227">
    <cfRule type="cellIs" dxfId="425" priority="289" operator="equal">
      <formula>"Ignore"</formula>
    </cfRule>
  </conditionalFormatting>
  <conditionalFormatting sqref="N230:N232">
    <cfRule type="cellIs" dxfId="424" priority="279" operator="equal">
      <formula>"Replace"</formula>
    </cfRule>
  </conditionalFormatting>
  <conditionalFormatting sqref="N230:N232">
    <cfRule type="cellIs" dxfId="423" priority="276" operator="equal">
      <formula>"Unknown"</formula>
    </cfRule>
  </conditionalFormatting>
  <conditionalFormatting sqref="N230:N232">
    <cfRule type="cellIs" dxfId="422" priority="277" operator="equal">
      <formula>"Good"</formula>
    </cfRule>
  </conditionalFormatting>
  <conditionalFormatting sqref="N230:N232">
    <cfRule type="cellIs" dxfId="421" priority="278" operator="equal">
      <formula>"Repair"</formula>
    </cfRule>
    <cfRule type="cellIs" dxfId="420" priority="281" operator="equal">
      <formula>"Dispose"</formula>
    </cfRule>
  </conditionalFormatting>
  <conditionalFormatting sqref="N230:N232">
    <cfRule type="cellIs" dxfId="419" priority="280" operator="equal">
      <formula>"Missing"</formula>
    </cfRule>
  </conditionalFormatting>
  <conditionalFormatting sqref="N230:N232">
    <cfRule type="cellIs" dxfId="418" priority="282" operator="equal">
      <formula>"Ignore"</formula>
    </cfRule>
  </conditionalFormatting>
  <conditionalFormatting sqref="N236:N238">
    <cfRule type="cellIs" dxfId="417" priority="272" operator="equal">
      <formula>"Replace"</formula>
    </cfRule>
  </conditionalFormatting>
  <conditionalFormatting sqref="N236:N238">
    <cfRule type="cellIs" dxfId="416" priority="269" operator="equal">
      <formula>"Unknown"</formula>
    </cfRule>
  </conditionalFormatting>
  <conditionalFormatting sqref="N236:N238">
    <cfRule type="cellIs" dxfId="415" priority="270" operator="equal">
      <formula>"Good"</formula>
    </cfRule>
  </conditionalFormatting>
  <conditionalFormatting sqref="N236:N238">
    <cfRule type="cellIs" dxfId="414" priority="271" operator="equal">
      <formula>"Repair"</formula>
    </cfRule>
    <cfRule type="cellIs" dxfId="413" priority="274" operator="equal">
      <formula>"Dispose"</formula>
    </cfRule>
  </conditionalFormatting>
  <conditionalFormatting sqref="N236:N238">
    <cfRule type="cellIs" dxfId="412" priority="273" operator="equal">
      <formula>"Missing"</formula>
    </cfRule>
  </conditionalFormatting>
  <conditionalFormatting sqref="N236:N238">
    <cfRule type="cellIs" dxfId="411" priority="275" operator="equal">
      <formula>"Ignore"</formula>
    </cfRule>
  </conditionalFormatting>
  <conditionalFormatting sqref="N240:N246">
    <cfRule type="cellIs" dxfId="410" priority="265" operator="equal">
      <formula>"Replace"</formula>
    </cfRule>
  </conditionalFormatting>
  <conditionalFormatting sqref="N240:N246">
    <cfRule type="cellIs" dxfId="409" priority="262" operator="equal">
      <formula>"Unknown"</formula>
    </cfRule>
  </conditionalFormatting>
  <conditionalFormatting sqref="N240:N246">
    <cfRule type="cellIs" dxfId="408" priority="263" operator="equal">
      <formula>"Good"</formula>
    </cfRule>
  </conditionalFormatting>
  <conditionalFormatting sqref="N240:N246">
    <cfRule type="cellIs" dxfId="407" priority="264" operator="equal">
      <formula>"Repair"</formula>
    </cfRule>
    <cfRule type="cellIs" dxfId="406" priority="267" operator="equal">
      <formula>"Dispose"</formula>
    </cfRule>
  </conditionalFormatting>
  <conditionalFormatting sqref="N240:N246">
    <cfRule type="cellIs" dxfId="405" priority="266" operator="equal">
      <formula>"Missing"</formula>
    </cfRule>
  </conditionalFormatting>
  <conditionalFormatting sqref="N240:N246">
    <cfRule type="cellIs" dxfId="404" priority="268" operator="equal">
      <formula>"Ignore"</formula>
    </cfRule>
  </conditionalFormatting>
  <conditionalFormatting sqref="N247">
    <cfRule type="cellIs" dxfId="403" priority="258" operator="equal">
      <formula>"Replace"</formula>
    </cfRule>
  </conditionalFormatting>
  <conditionalFormatting sqref="N247">
    <cfRule type="cellIs" dxfId="402" priority="255" operator="equal">
      <formula>"Unknown"</formula>
    </cfRule>
  </conditionalFormatting>
  <conditionalFormatting sqref="N247">
    <cfRule type="cellIs" dxfId="401" priority="256" operator="equal">
      <formula>"Good"</formula>
    </cfRule>
  </conditionalFormatting>
  <conditionalFormatting sqref="N247">
    <cfRule type="cellIs" dxfId="400" priority="257" operator="equal">
      <formula>"Repair"</formula>
    </cfRule>
    <cfRule type="cellIs" dxfId="399" priority="260" operator="equal">
      <formula>"Dispose"</formula>
    </cfRule>
  </conditionalFormatting>
  <conditionalFormatting sqref="N247">
    <cfRule type="cellIs" dxfId="398" priority="259" operator="equal">
      <formula>"Missing"</formula>
    </cfRule>
  </conditionalFormatting>
  <conditionalFormatting sqref="N247">
    <cfRule type="cellIs" dxfId="397" priority="261" operator="equal">
      <formula>"Ignore"</formula>
    </cfRule>
  </conditionalFormatting>
  <conditionalFormatting sqref="N253:N265">
    <cfRule type="cellIs" dxfId="396" priority="251" operator="equal">
      <formula>"Replace"</formula>
    </cfRule>
  </conditionalFormatting>
  <conditionalFormatting sqref="N253:N265">
    <cfRule type="cellIs" dxfId="395" priority="248" operator="equal">
      <formula>"Unknown"</formula>
    </cfRule>
  </conditionalFormatting>
  <conditionalFormatting sqref="N253:N265">
    <cfRule type="cellIs" dxfId="394" priority="249" operator="equal">
      <formula>"Good"</formula>
    </cfRule>
  </conditionalFormatting>
  <conditionalFormatting sqref="N253:N265">
    <cfRule type="cellIs" dxfId="393" priority="250" operator="equal">
      <formula>"Repair"</formula>
    </cfRule>
    <cfRule type="cellIs" dxfId="392" priority="253" operator="equal">
      <formula>"Dispose"</formula>
    </cfRule>
  </conditionalFormatting>
  <conditionalFormatting sqref="N253:N265">
    <cfRule type="cellIs" dxfId="391" priority="252" operator="equal">
      <formula>"Missing"</formula>
    </cfRule>
  </conditionalFormatting>
  <conditionalFormatting sqref="N253:N265">
    <cfRule type="cellIs" dxfId="390" priority="254" operator="equal">
      <formula>"Ignore"</formula>
    </cfRule>
  </conditionalFormatting>
  <conditionalFormatting sqref="N197">
    <cfRule type="cellIs" dxfId="389" priority="245" operator="equal">
      <formula>"Replace"</formula>
    </cfRule>
  </conditionalFormatting>
  <conditionalFormatting sqref="N197">
    <cfRule type="cellIs" dxfId="388" priority="242" operator="equal">
      <formula>"Unknown"</formula>
    </cfRule>
  </conditionalFormatting>
  <conditionalFormatting sqref="N197">
    <cfRule type="cellIs" dxfId="387" priority="243" operator="equal">
      <formula>"Good"</formula>
    </cfRule>
  </conditionalFormatting>
  <conditionalFormatting sqref="N197">
    <cfRule type="cellIs" dxfId="386" priority="244" operator="equal">
      <formula>"Repair"</formula>
    </cfRule>
    <cfRule type="cellIs" dxfId="385" priority="247" operator="equal">
      <formula>"Dispose"</formula>
    </cfRule>
  </conditionalFormatting>
  <conditionalFormatting sqref="N197">
    <cfRule type="cellIs" dxfId="384" priority="246" operator="equal">
      <formula>"Missing"</formula>
    </cfRule>
  </conditionalFormatting>
  <conditionalFormatting sqref="N197">
    <cfRule type="cellIs" dxfId="383" priority="241" operator="equal">
      <formula>"Ignore"</formula>
    </cfRule>
  </conditionalFormatting>
  <conditionalFormatting sqref="N198">
    <cfRule type="cellIs" dxfId="382" priority="238" operator="equal">
      <formula>"Replace"</formula>
    </cfRule>
  </conditionalFormatting>
  <conditionalFormatting sqref="N198">
    <cfRule type="cellIs" dxfId="381" priority="235" operator="equal">
      <formula>"Unknown"</formula>
    </cfRule>
  </conditionalFormatting>
  <conditionalFormatting sqref="N198">
    <cfRule type="cellIs" dxfId="380" priority="236" operator="equal">
      <formula>"Good"</formula>
    </cfRule>
  </conditionalFormatting>
  <conditionalFormatting sqref="N198">
    <cfRule type="cellIs" dxfId="379" priority="237" operator="equal">
      <formula>"Repair"</formula>
    </cfRule>
    <cfRule type="cellIs" dxfId="378" priority="240" operator="equal">
      <formula>"Dispose"</formula>
    </cfRule>
  </conditionalFormatting>
  <conditionalFormatting sqref="N198">
    <cfRule type="cellIs" dxfId="377" priority="239" operator="equal">
      <formula>"Missing"</formula>
    </cfRule>
  </conditionalFormatting>
  <conditionalFormatting sqref="N198">
    <cfRule type="cellIs" dxfId="376" priority="234" operator="equal">
      <formula>"Ignore"</formula>
    </cfRule>
  </conditionalFormatting>
  <conditionalFormatting sqref="N199">
    <cfRule type="cellIs" dxfId="375" priority="231" operator="equal">
      <formula>"Replace"</formula>
    </cfRule>
  </conditionalFormatting>
  <conditionalFormatting sqref="N199">
    <cfRule type="cellIs" dxfId="374" priority="228" operator="equal">
      <formula>"Unknown"</formula>
    </cfRule>
  </conditionalFormatting>
  <conditionalFormatting sqref="N199">
    <cfRule type="cellIs" dxfId="373" priority="229" operator="equal">
      <formula>"Good"</formula>
    </cfRule>
  </conditionalFormatting>
  <conditionalFormatting sqref="N199">
    <cfRule type="cellIs" dxfId="372" priority="230" operator="equal">
      <formula>"Repair"</formula>
    </cfRule>
    <cfRule type="cellIs" dxfId="371" priority="233" operator="equal">
      <formula>"Dispose"</formula>
    </cfRule>
  </conditionalFormatting>
  <conditionalFormatting sqref="N199">
    <cfRule type="cellIs" dxfId="370" priority="232" operator="equal">
      <formula>"Missing"</formula>
    </cfRule>
  </conditionalFormatting>
  <conditionalFormatting sqref="N199">
    <cfRule type="cellIs" dxfId="369" priority="227" operator="equal">
      <formula>"Ignore"</formula>
    </cfRule>
  </conditionalFormatting>
  <conditionalFormatting sqref="N200">
    <cfRule type="cellIs" dxfId="368" priority="224" operator="equal">
      <formula>"Replace"</formula>
    </cfRule>
  </conditionalFormatting>
  <conditionalFormatting sqref="N200">
    <cfRule type="cellIs" dxfId="367" priority="221" operator="equal">
      <formula>"Unknown"</formula>
    </cfRule>
  </conditionalFormatting>
  <conditionalFormatting sqref="N200">
    <cfRule type="cellIs" dxfId="366" priority="222" operator="equal">
      <formula>"Good"</formula>
    </cfRule>
  </conditionalFormatting>
  <conditionalFormatting sqref="N200">
    <cfRule type="cellIs" dxfId="365" priority="223" operator="equal">
      <formula>"Repair"</formula>
    </cfRule>
    <cfRule type="cellIs" dxfId="364" priority="226" operator="equal">
      <formula>"Dispose"</formula>
    </cfRule>
  </conditionalFormatting>
  <conditionalFormatting sqref="N200">
    <cfRule type="cellIs" dxfId="363" priority="225" operator="equal">
      <formula>"Missing"</formula>
    </cfRule>
  </conditionalFormatting>
  <conditionalFormatting sqref="N200">
    <cfRule type="cellIs" dxfId="362" priority="220" operator="equal">
      <formula>"Ignore"</formula>
    </cfRule>
  </conditionalFormatting>
  <conditionalFormatting sqref="N91:N94">
    <cfRule type="cellIs" dxfId="361" priority="192" operator="equal">
      <formula>"Unknown"</formula>
    </cfRule>
    <cfRule type="cellIs" dxfId="360" priority="193" operator="equal">
      <formula>"Good"</formula>
    </cfRule>
    <cfRule type="cellIs" dxfId="359" priority="194" operator="equal">
      <formula>"Repair"</formula>
    </cfRule>
    <cfRule type="cellIs" dxfId="358" priority="195" operator="equal">
      <formula>"Replace"</formula>
    </cfRule>
    <cfRule type="cellIs" dxfId="357" priority="196" operator="equal">
      <formula>"Improve"</formula>
    </cfRule>
    <cfRule type="cellIs" dxfId="356" priority="197" operator="equal">
      <formula>"Missing"</formula>
    </cfRule>
    <cfRule type="cellIs" dxfId="355" priority="198" operator="equal">
      <formula>"Dispose"</formula>
    </cfRule>
    <cfRule type="cellIs" dxfId="354" priority="199" operator="equal">
      <formula>"Ignore"</formula>
    </cfRule>
  </conditionalFormatting>
  <conditionalFormatting sqref="N193">
    <cfRule type="cellIs" dxfId="353" priority="181" operator="equal">
      <formula>"Replace"</formula>
    </cfRule>
  </conditionalFormatting>
  <conditionalFormatting sqref="N193">
    <cfRule type="cellIs" dxfId="352" priority="178" operator="equal">
      <formula>"Unknown"</formula>
    </cfRule>
  </conditionalFormatting>
  <conditionalFormatting sqref="N193">
    <cfRule type="cellIs" dxfId="351" priority="179" operator="equal">
      <formula>"Good"</formula>
    </cfRule>
  </conditionalFormatting>
  <conditionalFormatting sqref="N193">
    <cfRule type="cellIs" dxfId="350" priority="180" operator="equal">
      <formula>"Repair"</formula>
    </cfRule>
    <cfRule type="cellIs" dxfId="349" priority="183" operator="equal">
      <formula>"Dispose"</formula>
    </cfRule>
  </conditionalFormatting>
  <conditionalFormatting sqref="N193">
    <cfRule type="cellIs" dxfId="348" priority="182" operator="equal">
      <formula>"Missing"</formula>
    </cfRule>
  </conditionalFormatting>
  <conditionalFormatting sqref="N193">
    <cfRule type="cellIs" dxfId="347" priority="177" operator="equal">
      <formula>"Ignore"</formula>
    </cfRule>
  </conditionalFormatting>
  <conditionalFormatting sqref="N192">
    <cfRule type="cellIs" dxfId="346" priority="174" operator="equal">
      <formula>"Replace"</formula>
    </cfRule>
  </conditionalFormatting>
  <conditionalFormatting sqref="N192">
    <cfRule type="cellIs" dxfId="345" priority="171" operator="equal">
      <formula>"Unknown"</formula>
    </cfRule>
  </conditionalFormatting>
  <conditionalFormatting sqref="N192">
    <cfRule type="cellIs" dxfId="344" priority="172" operator="equal">
      <formula>"Good"</formula>
    </cfRule>
  </conditionalFormatting>
  <conditionalFormatting sqref="N192">
    <cfRule type="cellIs" dxfId="343" priority="173" operator="equal">
      <formula>"Repair"</formula>
    </cfRule>
    <cfRule type="cellIs" dxfId="342" priority="176" operator="equal">
      <formula>"Dispose"</formula>
    </cfRule>
  </conditionalFormatting>
  <conditionalFormatting sqref="N192">
    <cfRule type="cellIs" dxfId="341" priority="175" operator="equal">
      <formula>"Missing"</formula>
    </cfRule>
  </conditionalFormatting>
  <conditionalFormatting sqref="N192">
    <cfRule type="cellIs" dxfId="340" priority="170" operator="equal">
      <formula>"Ignore"</formula>
    </cfRule>
  </conditionalFormatting>
  <conditionalFormatting sqref="N141:N142">
    <cfRule type="cellIs" dxfId="339" priority="162" operator="equal">
      <formula>"Unknown"</formula>
    </cfRule>
    <cfRule type="cellIs" dxfId="338" priority="163" operator="equal">
      <formula>"Good"</formula>
    </cfRule>
    <cfRule type="cellIs" dxfId="337" priority="164" operator="equal">
      <formula>"Repair"</formula>
    </cfRule>
    <cfRule type="cellIs" dxfId="336" priority="165" operator="equal">
      <formula>"Replace"</formula>
    </cfRule>
    <cfRule type="cellIs" dxfId="335" priority="166" operator="equal">
      <formula>"Improve"</formula>
    </cfRule>
    <cfRule type="cellIs" dxfId="334" priority="167" operator="equal">
      <formula>"Missing"</formula>
    </cfRule>
    <cfRule type="cellIs" dxfId="333" priority="168" operator="equal">
      <formula>"Dispose"</formula>
    </cfRule>
    <cfRule type="cellIs" dxfId="332" priority="169" operator="equal">
      <formula>"Ignore"</formula>
    </cfRule>
  </conditionalFormatting>
  <conditionalFormatting sqref="N217">
    <cfRule type="cellIs" dxfId="331" priority="161" operator="equal">
      <formula>"Ignore"</formula>
    </cfRule>
  </conditionalFormatting>
  <conditionalFormatting sqref="N128">
    <cfRule type="cellIs" dxfId="330" priority="160" operator="equal">
      <formula>"Ignore"</formula>
    </cfRule>
  </conditionalFormatting>
  <conditionalFormatting sqref="N129">
    <cfRule type="cellIs" dxfId="329" priority="159" operator="equal">
      <formula>"Ignore"</formula>
    </cfRule>
  </conditionalFormatting>
  <conditionalFormatting sqref="N130">
    <cfRule type="cellIs" dxfId="328" priority="158" operator="equal">
      <formula>"Ignore"</formula>
    </cfRule>
  </conditionalFormatting>
  <conditionalFormatting sqref="N126">
    <cfRule type="cellIs" dxfId="327" priority="157" operator="equal">
      <formula>"Ignore"</formula>
    </cfRule>
  </conditionalFormatting>
  <conditionalFormatting sqref="N127">
    <cfRule type="cellIs" dxfId="326" priority="156" operator="equal">
      <formula>"Ignore"</formula>
    </cfRule>
  </conditionalFormatting>
  <conditionalFormatting sqref="N230">
    <cfRule type="cellIs" dxfId="325" priority="155" operator="equal">
      <formula>"Ignore"</formula>
    </cfRule>
  </conditionalFormatting>
  <conditionalFormatting sqref="N231">
    <cfRule type="cellIs" dxfId="324" priority="154" operator="equal">
      <formula>"Ignore"</formula>
    </cfRule>
  </conditionalFormatting>
  <conditionalFormatting sqref="N98">
    <cfRule type="cellIs" dxfId="323" priority="146" operator="equal">
      <formula>"Unknown"</formula>
    </cfRule>
    <cfRule type="cellIs" dxfId="322" priority="147" operator="equal">
      <formula>"Good"</formula>
    </cfRule>
    <cfRule type="cellIs" dxfId="321" priority="148" operator="equal">
      <formula>"Repair"</formula>
    </cfRule>
    <cfRule type="cellIs" dxfId="320" priority="149" operator="equal">
      <formula>"Replace"</formula>
    </cfRule>
    <cfRule type="cellIs" dxfId="319" priority="150" operator="equal">
      <formula>"Improve"</formula>
    </cfRule>
    <cfRule type="cellIs" dxfId="318" priority="151" operator="equal">
      <formula>"Missing"</formula>
    </cfRule>
    <cfRule type="cellIs" dxfId="317" priority="152" operator="equal">
      <formula>"Dispose"</formula>
    </cfRule>
    <cfRule type="cellIs" dxfId="316" priority="153" operator="equal">
      <formula>"Ignore"</formula>
    </cfRule>
  </conditionalFormatting>
  <conditionalFormatting sqref="N99">
    <cfRule type="cellIs" dxfId="315" priority="138" operator="equal">
      <formula>"Unknown"</formula>
    </cfRule>
    <cfRule type="cellIs" dxfId="314" priority="139" operator="equal">
      <formula>"Good"</formula>
    </cfRule>
    <cfRule type="cellIs" dxfId="313" priority="140" operator="equal">
      <formula>"Repair"</formula>
    </cfRule>
    <cfRule type="cellIs" dxfId="312" priority="141" operator="equal">
      <formula>"Replace"</formula>
    </cfRule>
    <cfRule type="cellIs" dxfId="311" priority="142" operator="equal">
      <formula>"Improve"</formula>
    </cfRule>
    <cfRule type="cellIs" dxfId="310" priority="143" operator="equal">
      <formula>"Missing"</formula>
    </cfRule>
    <cfRule type="cellIs" dxfId="309" priority="144" operator="equal">
      <formula>"Dispose"</formula>
    </cfRule>
    <cfRule type="cellIs" dxfId="308" priority="145" operator="equal">
      <formula>"Ignore"</formula>
    </cfRule>
  </conditionalFormatting>
  <conditionalFormatting sqref="N100">
    <cfRule type="cellIs" dxfId="307" priority="130" operator="equal">
      <formula>"Unknown"</formula>
    </cfRule>
    <cfRule type="cellIs" dxfId="306" priority="131" operator="equal">
      <formula>"Good"</formula>
    </cfRule>
    <cfRule type="cellIs" dxfId="305" priority="132" operator="equal">
      <formula>"Repair"</formula>
    </cfRule>
    <cfRule type="cellIs" dxfId="304" priority="133" operator="equal">
      <formula>"Replace"</formula>
    </cfRule>
    <cfRule type="cellIs" dxfId="303" priority="134" operator="equal">
      <formula>"Improve"</formula>
    </cfRule>
    <cfRule type="cellIs" dxfId="302" priority="135" operator="equal">
      <formula>"Missing"</formula>
    </cfRule>
    <cfRule type="cellIs" dxfId="301" priority="136" operator="equal">
      <formula>"Dispose"</formula>
    </cfRule>
    <cfRule type="cellIs" dxfId="300" priority="137" operator="equal">
      <formula>"Ignore"</formula>
    </cfRule>
  </conditionalFormatting>
  <conditionalFormatting sqref="N101">
    <cfRule type="cellIs" dxfId="299" priority="122" operator="equal">
      <formula>"Unknown"</formula>
    </cfRule>
    <cfRule type="cellIs" dxfId="298" priority="123" operator="equal">
      <formula>"Good"</formula>
    </cfRule>
    <cfRule type="cellIs" dxfId="297" priority="124" operator="equal">
      <formula>"Repair"</formula>
    </cfRule>
    <cfRule type="cellIs" dxfId="296" priority="125" operator="equal">
      <formula>"Replace"</formula>
    </cfRule>
    <cfRule type="cellIs" dxfId="295" priority="126" operator="equal">
      <formula>"Improve"</formula>
    </cfRule>
    <cfRule type="cellIs" dxfId="294" priority="127" operator="equal">
      <formula>"Missing"</formula>
    </cfRule>
    <cfRule type="cellIs" dxfId="293" priority="128" operator="equal">
      <formula>"Dispose"</formula>
    </cfRule>
    <cfRule type="cellIs" dxfId="292" priority="129" operator="equal">
      <formula>"Ignore"</formula>
    </cfRule>
  </conditionalFormatting>
  <conditionalFormatting sqref="N103">
    <cfRule type="cellIs" dxfId="291" priority="114" operator="equal">
      <formula>"Unknown"</formula>
    </cfRule>
    <cfRule type="cellIs" dxfId="290" priority="115" operator="equal">
      <formula>"Good"</formula>
    </cfRule>
    <cfRule type="cellIs" dxfId="289" priority="116" operator="equal">
      <formula>"Repair"</formula>
    </cfRule>
    <cfRule type="cellIs" dxfId="288" priority="117" operator="equal">
      <formula>"Replace"</formula>
    </cfRule>
    <cfRule type="cellIs" dxfId="287" priority="118" operator="equal">
      <formula>"Improve"</formula>
    </cfRule>
    <cfRule type="cellIs" dxfId="286" priority="119" operator="equal">
      <formula>"Missing"</formula>
    </cfRule>
    <cfRule type="cellIs" dxfId="285" priority="120" operator="equal">
      <formula>"Dispose"</formula>
    </cfRule>
    <cfRule type="cellIs" dxfId="284" priority="121" operator="equal">
      <formula>"Ignore"</formula>
    </cfRule>
  </conditionalFormatting>
  <conditionalFormatting sqref="N107">
    <cfRule type="cellIs" dxfId="283" priority="106" operator="equal">
      <formula>"Unknown"</formula>
    </cfRule>
    <cfRule type="cellIs" dxfId="282" priority="107" operator="equal">
      <formula>"Good"</formula>
    </cfRule>
    <cfRule type="cellIs" dxfId="281" priority="108" operator="equal">
      <formula>"Repair"</formula>
    </cfRule>
    <cfRule type="cellIs" dxfId="280" priority="109" operator="equal">
      <formula>"Replace"</formula>
    </cfRule>
    <cfRule type="cellIs" dxfId="279" priority="110" operator="equal">
      <formula>"Improve"</formula>
    </cfRule>
    <cfRule type="cellIs" dxfId="278" priority="111" operator="equal">
      <formula>"Missing"</formula>
    </cfRule>
    <cfRule type="cellIs" dxfId="277" priority="112" operator="equal">
      <formula>"Dispose"</formula>
    </cfRule>
    <cfRule type="cellIs" dxfId="276" priority="113" operator="equal">
      <formula>"Ignore"</formula>
    </cfRule>
  </conditionalFormatting>
  <conditionalFormatting sqref="N108">
    <cfRule type="cellIs" dxfId="275" priority="98" operator="equal">
      <formula>"Unknown"</formula>
    </cfRule>
    <cfRule type="cellIs" dxfId="274" priority="99" operator="equal">
      <formula>"Good"</formula>
    </cfRule>
    <cfRule type="cellIs" dxfId="273" priority="100" operator="equal">
      <formula>"Repair"</formula>
    </cfRule>
    <cfRule type="cellIs" dxfId="272" priority="101" operator="equal">
      <formula>"Replace"</formula>
    </cfRule>
    <cfRule type="cellIs" dxfId="271" priority="102" operator="equal">
      <formula>"Improve"</formula>
    </cfRule>
    <cfRule type="cellIs" dxfId="270" priority="103" operator="equal">
      <formula>"Missing"</formula>
    </cfRule>
    <cfRule type="cellIs" dxfId="269" priority="104" operator="equal">
      <formula>"Dispose"</formula>
    </cfRule>
    <cfRule type="cellIs" dxfId="268" priority="105" operator="equal">
      <formula>"Ignore"</formula>
    </cfRule>
  </conditionalFormatting>
  <conditionalFormatting sqref="N109">
    <cfRule type="cellIs" dxfId="267" priority="90" operator="equal">
      <formula>"Unknown"</formula>
    </cfRule>
    <cfRule type="cellIs" dxfId="266" priority="91" operator="equal">
      <formula>"Good"</formula>
    </cfRule>
    <cfRule type="cellIs" dxfId="265" priority="92" operator="equal">
      <formula>"Repair"</formula>
    </cfRule>
    <cfRule type="cellIs" dxfId="264" priority="93" operator="equal">
      <formula>"Replace"</formula>
    </cfRule>
    <cfRule type="cellIs" dxfId="263" priority="94" operator="equal">
      <formula>"Improve"</formula>
    </cfRule>
    <cfRule type="cellIs" dxfId="262" priority="95" operator="equal">
      <formula>"Missing"</formula>
    </cfRule>
    <cfRule type="cellIs" dxfId="261" priority="96" operator="equal">
      <formula>"Dispose"</formula>
    </cfRule>
    <cfRule type="cellIs" dxfId="260" priority="97" operator="equal">
      <formula>"Ignore"</formula>
    </cfRule>
  </conditionalFormatting>
  <conditionalFormatting sqref="N110">
    <cfRule type="cellIs" dxfId="259" priority="82" operator="equal">
      <formula>"Unknown"</formula>
    </cfRule>
    <cfRule type="cellIs" dxfId="258" priority="83" operator="equal">
      <formula>"Good"</formula>
    </cfRule>
    <cfRule type="cellIs" dxfId="257" priority="84" operator="equal">
      <formula>"Repair"</formula>
    </cfRule>
    <cfRule type="cellIs" dxfId="256" priority="85" operator="equal">
      <formula>"Replace"</formula>
    </cfRule>
    <cfRule type="cellIs" dxfId="255" priority="86" operator="equal">
      <formula>"Improve"</formula>
    </cfRule>
    <cfRule type="cellIs" dxfId="254" priority="87" operator="equal">
      <formula>"Missing"</formula>
    </cfRule>
    <cfRule type="cellIs" dxfId="253" priority="88" operator="equal">
      <formula>"Dispose"</formula>
    </cfRule>
    <cfRule type="cellIs" dxfId="252" priority="89" operator="equal">
      <formula>"Ignore"</formula>
    </cfRule>
  </conditionalFormatting>
  <conditionalFormatting sqref="N125">
    <cfRule type="cellIs" dxfId="251" priority="74" operator="equal">
      <formula>"Unknown"</formula>
    </cfRule>
    <cfRule type="cellIs" dxfId="250" priority="75" operator="equal">
      <formula>"Good"</formula>
    </cfRule>
    <cfRule type="cellIs" dxfId="249" priority="76" operator="equal">
      <formula>"Repair"</formula>
    </cfRule>
    <cfRule type="cellIs" dxfId="248" priority="77" operator="equal">
      <formula>"Replace"</formula>
    </cfRule>
    <cfRule type="cellIs" dxfId="247" priority="78" operator="equal">
      <formula>"Improve"</formula>
    </cfRule>
    <cfRule type="cellIs" dxfId="246" priority="79" operator="equal">
      <formula>"Missing"</formula>
    </cfRule>
    <cfRule type="cellIs" dxfId="245" priority="80" operator="equal">
      <formula>"Dispose"</formula>
    </cfRule>
    <cfRule type="cellIs" dxfId="244" priority="81" operator="equal">
      <formula>"Ignore"</formula>
    </cfRule>
  </conditionalFormatting>
  <conditionalFormatting sqref="N147">
    <cfRule type="cellIs" dxfId="243" priority="66" operator="equal">
      <formula>"Unknown"</formula>
    </cfRule>
    <cfRule type="cellIs" dxfId="242" priority="67" operator="equal">
      <formula>"Good"</formula>
    </cfRule>
    <cfRule type="cellIs" dxfId="241" priority="68" operator="equal">
      <formula>"Repair"</formula>
    </cfRule>
    <cfRule type="cellIs" dxfId="240" priority="69" operator="equal">
      <formula>"Replace"</formula>
    </cfRule>
    <cfRule type="cellIs" dxfId="239" priority="70" operator="equal">
      <formula>"Improve"</formula>
    </cfRule>
    <cfRule type="cellIs" dxfId="238" priority="71" operator="equal">
      <formula>"Missing"</formula>
    </cfRule>
    <cfRule type="cellIs" dxfId="237" priority="72" operator="equal">
      <formula>"Dispose"</formula>
    </cfRule>
    <cfRule type="cellIs" dxfId="236" priority="73" operator="equal">
      <formula>"Ignore"</formula>
    </cfRule>
  </conditionalFormatting>
  <conditionalFormatting sqref="N148">
    <cfRule type="cellIs" dxfId="235" priority="58" operator="equal">
      <formula>"Unknown"</formula>
    </cfRule>
    <cfRule type="cellIs" dxfId="234" priority="59" operator="equal">
      <formula>"Good"</formula>
    </cfRule>
    <cfRule type="cellIs" dxfId="233" priority="60" operator="equal">
      <formula>"Repair"</formula>
    </cfRule>
    <cfRule type="cellIs" dxfId="232" priority="61" operator="equal">
      <formula>"Replace"</formula>
    </cfRule>
    <cfRule type="cellIs" dxfId="231" priority="62" operator="equal">
      <formula>"Improve"</formula>
    </cfRule>
    <cfRule type="cellIs" dxfId="230" priority="63" operator="equal">
      <formula>"Missing"</formula>
    </cfRule>
    <cfRule type="cellIs" dxfId="229" priority="64" operator="equal">
      <formula>"Dispose"</formula>
    </cfRule>
    <cfRule type="cellIs" dxfId="228" priority="65" operator="equal">
      <formula>"Ignore"</formula>
    </cfRule>
  </conditionalFormatting>
  <conditionalFormatting sqref="P92">
    <cfRule type="cellIs" dxfId="227" priority="50" operator="equal">
      <formula>"Unknown"</formula>
    </cfRule>
    <cfRule type="cellIs" dxfId="226" priority="51" operator="equal">
      <formula>"Good"</formula>
    </cfRule>
    <cfRule type="cellIs" dxfId="225" priority="52" operator="equal">
      <formula>"Repair"</formula>
    </cfRule>
    <cfRule type="cellIs" dxfId="224" priority="53" operator="equal">
      <formula>"Replace"</formula>
    </cfRule>
    <cfRule type="cellIs" dxfId="223" priority="54" operator="equal">
      <formula>"Improve"</formula>
    </cfRule>
    <cfRule type="cellIs" dxfId="222" priority="55" operator="equal">
      <formula>"Missing"</formula>
    </cfRule>
    <cfRule type="cellIs" dxfId="221" priority="56" operator="equal">
      <formula>"Dispose"</formula>
    </cfRule>
    <cfRule type="cellIs" dxfId="220" priority="57" operator="equal">
      <formula>"Ignore"</formula>
    </cfRule>
  </conditionalFormatting>
  <conditionalFormatting sqref="N240">
    <cfRule type="cellIs" dxfId="219" priority="46" operator="equal">
      <formula>"Replace"</formula>
    </cfRule>
  </conditionalFormatting>
  <conditionalFormatting sqref="N240">
    <cfRule type="cellIs" dxfId="218" priority="43" operator="equal">
      <formula>"Unknown"</formula>
    </cfRule>
  </conditionalFormatting>
  <conditionalFormatting sqref="N240">
    <cfRule type="cellIs" dxfId="217" priority="44" operator="equal">
      <formula>"Good"</formula>
    </cfRule>
  </conditionalFormatting>
  <conditionalFormatting sqref="N240">
    <cfRule type="cellIs" dxfId="216" priority="45" operator="equal">
      <formula>"Repair"</formula>
    </cfRule>
    <cfRule type="cellIs" dxfId="215" priority="48" operator="equal">
      <formula>"Dispose"</formula>
    </cfRule>
  </conditionalFormatting>
  <conditionalFormatting sqref="N240">
    <cfRule type="cellIs" dxfId="214" priority="47" operator="equal">
      <formula>"Missing"</formula>
    </cfRule>
  </conditionalFormatting>
  <conditionalFormatting sqref="N240">
    <cfRule type="cellIs" dxfId="213" priority="49" operator="equal">
      <formula>"Ignore"</formula>
    </cfRule>
  </conditionalFormatting>
  <conditionalFormatting sqref="N241">
    <cfRule type="cellIs" dxfId="212" priority="39" operator="equal">
      <formula>"Replace"</formula>
    </cfRule>
  </conditionalFormatting>
  <conditionalFormatting sqref="N241">
    <cfRule type="cellIs" dxfId="211" priority="36" operator="equal">
      <formula>"Unknown"</formula>
    </cfRule>
  </conditionalFormatting>
  <conditionalFormatting sqref="N241">
    <cfRule type="cellIs" dxfId="210" priority="37" operator="equal">
      <formula>"Good"</formula>
    </cfRule>
  </conditionalFormatting>
  <conditionalFormatting sqref="N241">
    <cfRule type="cellIs" dxfId="209" priority="38" operator="equal">
      <formula>"Repair"</formula>
    </cfRule>
    <cfRule type="cellIs" dxfId="208" priority="41" operator="equal">
      <formula>"Dispose"</formula>
    </cfRule>
  </conditionalFormatting>
  <conditionalFormatting sqref="N241">
    <cfRule type="cellIs" dxfId="207" priority="40" operator="equal">
      <formula>"Missing"</formula>
    </cfRule>
  </conditionalFormatting>
  <conditionalFormatting sqref="N241">
    <cfRule type="cellIs" dxfId="206" priority="42" operator="equal">
      <formula>"Ignore"</formula>
    </cfRule>
  </conditionalFormatting>
  <conditionalFormatting sqref="N242">
    <cfRule type="cellIs" dxfId="205" priority="32" operator="equal">
      <formula>"Replace"</formula>
    </cfRule>
  </conditionalFormatting>
  <conditionalFormatting sqref="N242">
    <cfRule type="cellIs" dxfId="204" priority="29" operator="equal">
      <formula>"Unknown"</formula>
    </cfRule>
  </conditionalFormatting>
  <conditionalFormatting sqref="N242">
    <cfRule type="cellIs" dxfId="203" priority="30" operator="equal">
      <formula>"Good"</formula>
    </cfRule>
  </conditionalFormatting>
  <conditionalFormatting sqref="N242">
    <cfRule type="cellIs" dxfId="202" priority="31" operator="equal">
      <formula>"Repair"</formula>
    </cfRule>
    <cfRule type="cellIs" dxfId="201" priority="34" operator="equal">
      <formula>"Dispose"</formula>
    </cfRule>
  </conditionalFormatting>
  <conditionalFormatting sqref="N242">
    <cfRule type="cellIs" dxfId="200" priority="33" operator="equal">
      <formula>"Missing"</formula>
    </cfRule>
  </conditionalFormatting>
  <conditionalFormatting sqref="N242">
    <cfRule type="cellIs" dxfId="199" priority="35" operator="equal">
      <formula>"Ignore"</formula>
    </cfRule>
  </conditionalFormatting>
  <conditionalFormatting sqref="N243">
    <cfRule type="cellIs" dxfId="198" priority="25" operator="equal">
      <formula>"Replace"</formula>
    </cfRule>
  </conditionalFormatting>
  <conditionalFormatting sqref="N243">
    <cfRule type="cellIs" dxfId="197" priority="22" operator="equal">
      <formula>"Unknown"</formula>
    </cfRule>
  </conditionalFormatting>
  <conditionalFormatting sqref="N243">
    <cfRule type="cellIs" dxfId="196" priority="23" operator="equal">
      <formula>"Good"</formula>
    </cfRule>
  </conditionalFormatting>
  <conditionalFormatting sqref="N243">
    <cfRule type="cellIs" dxfId="195" priority="24" operator="equal">
      <formula>"Repair"</formula>
    </cfRule>
    <cfRule type="cellIs" dxfId="194" priority="27" operator="equal">
      <formula>"Dispose"</formula>
    </cfRule>
  </conditionalFormatting>
  <conditionalFormatting sqref="N243">
    <cfRule type="cellIs" dxfId="193" priority="26" operator="equal">
      <formula>"Missing"</formula>
    </cfRule>
  </conditionalFormatting>
  <conditionalFormatting sqref="N243">
    <cfRule type="cellIs" dxfId="192" priority="28" operator="equal">
      <formula>"Ignore"</formula>
    </cfRule>
  </conditionalFormatting>
  <conditionalFormatting sqref="N244">
    <cfRule type="cellIs" dxfId="191" priority="18" operator="equal">
      <formula>"Replace"</formula>
    </cfRule>
  </conditionalFormatting>
  <conditionalFormatting sqref="N244">
    <cfRule type="cellIs" dxfId="190" priority="15" operator="equal">
      <formula>"Unknown"</formula>
    </cfRule>
  </conditionalFormatting>
  <conditionalFormatting sqref="N244">
    <cfRule type="cellIs" dxfId="189" priority="16" operator="equal">
      <formula>"Good"</formula>
    </cfRule>
  </conditionalFormatting>
  <conditionalFormatting sqref="N244">
    <cfRule type="cellIs" dxfId="188" priority="17" operator="equal">
      <formula>"Repair"</formula>
    </cfRule>
    <cfRule type="cellIs" dxfId="187" priority="20" operator="equal">
      <formula>"Dispose"</formula>
    </cfRule>
  </conditionalFormatting>
  <conditionalFormatting sqref="N244">
    <cfRule type="cellIs" dxfId="186" priority="19" operator="equal">
      <formula>"Missing"</formula>
    </cfRule>
  </conditionalFormatting>
  <conditionalFormatting sqref="N244">
    <cfRule type="cellIs" dxfId="185" priority="21" operator="equal">
      <formula>"Ignore"</formula>
    </cfRule>
  </conditionalFormatting>
  <conditionalFormatting sqref="N245">
    <cfRule type="cellIs" dxfId="184" priority="11" operator="equal">
      <formula>"Replace"</formula>
    </cfRule>
  </conditionalFormatting>
  <conditionalFormatting sqref="N245">
    <cfRule type="cellIs" dxfId="183" priority="8" operator="equal">
      <formula>"Unknown"</formula>
    </cfRule>
  </conditionalFormatting>
  <conditionalFormatting sqref="N245">
    <cfRule type="cellIs" dxfId="182" priority="9" operator="equal">
      <formula>"Good"</formula>
    </cfRule>
  </conditionalFormatting>
  <conditionalFormatting sqref="N245">
    <cfRule type="cellIs" dxfId="181" priority="10" operator="equal">
      <formula>"Repair"</formula>
    </cfRule>
    <cfRule type="cellIs" dxfId="180" priority="13" operator="equal">
      <formula>"Dispose"</formula>
    </cfRule>
  </conditionalFormatting>
  <conditionalFormatting sqref="N245">
    <cfRule type="cellIs" dxfId="179" priority="12" operator="equal">
      <formula>"Missing"</formula>
    </cfRule>
  </conditionalFormatting>
  <conditionalFormatting sqref="N245">
    <cfRule type="cellIs" dxfId="178" priority="14" operator="equal">
      <formula>"Ignore"</formula>
    </cfRule>
  </conditionalFormatting>
  <conditionalFormatting sqref="N247">
    <cfRule type="cellIs" dxfId="177" priority="4" operator="equal">
      <formula>"Replace"</formula>
    </cfRule>
  </conditionalFormatting>
  <conditionalFormatting sqref="N247">
    <cfRule type="cellIs" dxfId="176" priority="1" operator="equal">
      <formula>"Unknown"</formula>
    </cfRule>
  </conditionalFormatting>
  <conditionalFormatting sqref="N247">
    <cfRule type="cellIs" dxfId="175" priority="2" operator="equal">
      <formula>"Good"</formula>
    </cfRule>
  </conditionalFormatting>
  <conditionalFormatting sqref="N247">
    <cfRule type="cellIs" dxfId="174" priority="3" operator="equal">
      <formula>"Repair"</formula>
    </cfRule>
    <cfRule type="cellIs" dxfId="173" priority="6" operator="equal">
      <formula>"Dispose"</formula>
    </cfRule>
  </conditionalFormatting>
  <conditionalFormatting sqref="N247">
    <cfRule type="cellIs" dxfId="172" priority="5" operator="equal">
      <formula>"Missing"</formula>
    </cfRule>
  </conditionalFormatting>
  <conditionalFormatting sqref="N247">
    <cfRule type="cellIs" dxfId="171" priority="7" operator="equal">
      <formula>"Ignore"</formula>
    </cfRule>
  </conditionalFormatting>
  <dataValidations disablePrompts="1" count="2">
    <dataValidation type="list" allowBlank="1" showInputMessage="1" showErrorMessage="1" sqref="N98:N105 N91:N94 N167:N171 N136:N139 N190:N193 N151 N158:N162 N164:N165 N173:N175 N153:N156 N216:N227 N202:N208 N210:N213 N112:N132 N107:N110 N236:N238 P91:Q91 N230:N232 N177:N184 N240:N247 N197:N200 N141:N149 P92:P94 N253:N265 N186:N188" xr:uid="{BC33A297-21D1-45E0-AD70-53CEF302EFE9}">
      <formula1>ItemState</formula1>
    </dataValidation>
    <dataValidation type="list" allowBlank="1" showInputMessage="1" showErrorMessage="1" sqref="N73" xr:uid="{544E49BC-EEAF-46C9-8C4F-E69DDA85E586}">
      <formula1>AssesmentTargets</formula1>
    </dataValidation>
  </dataValidations>
  <hyperlinks>
    <hyperlink ref="G85" r:id="rId1" xr:uid="{6EF5757B-944B-463D-80FF-A001EC0C9F61}"/>
    <hyperlink ref="F12" r:id="rId2" xr:uid="{7CAA82BD-4967-4A0A-B6A8-71F7B5366B80}"/>
    <hyperlink ref="F4" r:id="rId3" xr:uid="{F068582C-BC74-4F08-BC8D-0CEBF07F58BA}"/>
  </hyperlinks>
  <pageMargins left="0.70866141732283472" right="0.70866141732283472" top="0.74803149606299213" bottom="0.74803149606299213" header="0.31496062992125984" footer="0.31496062992125984"/>
  <pageSetup paperSize="8" scale="26" orientation="portrait" r:id="rId4"/>
  <drawing r:id="rId5"/>
  <legacy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E474F-9A03-4444-BEA8-CD2CD4CCBA03}">
  <sheetPr codeName="Sheet2"/>
  <dimension ref="B1:K581"/>
  <sheetViews>
    <sheetView topLeftCell="A175" zoomScale="115" zoomScaleNormal="115" workbookViewId="0">
      <selection activeCell="J421" sqref="J421"/>
    </sheetView>
  </sheetViews>
  <sheetFormatPr defaultRowHeight="15" outlineLevelRow="1" x14ac:dyDescent="0.25"/>
  <cols>
    <col min="1" max="1" width="3.7109375" customWidth="1"/>
    <col min="2" max="2" width="3.7109375" style="56" customWidth="1"/>
    <col min="3" max="3" width="46.140625" style="56" customWidth="1"/>
    <col min="4" max="4" width="33.140625" style="83" customWidth="1"/>
    <col min="5" max="5" width="16.42578125" style="47" customWidth="1"/>
    <col min="6" max="6" width="33.5703125" style="92" customWidth="1"/>
    <col min="7" max="7" width="16.42578125" style="49" customWidth="1"/>
    <col min="8" max="8" width="33" style="92" customWidth="1"/>
    <col min="9" max="9" width="16.42578125" style="49" customWidth="1"/>
  </cols>
  <sheetData>
    <row r="1" spans="2:9" x14ac:dyDescent="0.25">
      <c r="D1" s="81"/>
      <c r="E1" s="51"/>
      <c r="F1" s="91"/>
      <c r="G1" s="51"/>
      <c r="H1" s="91"/>
      <c r="I1" s="51"/>
    </row>
    <row r="2" spans="2:9" s="8" customFormat="1" ht="24" customHeight="1" x14ac:dyDescent="0.25">
      <c r="B2" s="57"/>
      <c r="C2" s="57"/>
      <c r="D2" s="163" t="s">
        <v>193</v>
      </c>
      <c r="E2" s="164"/>
      <c r="F2" s="165" t="s">
        <v>194</v>
      </c>
      <c r="G2" s="166"/>
      <c r="H2" s="167" t="s">
        <v>392</v>
      </c>
      <c r="I2" s="168"/>
    </row>
    <row r="3" spans="2:9" x14ac:dyDescent="0.25">
      <c r="B3"/>
      <c r="D3" s="82"/>
      <c r="E3"/>
      <c r="F3" s="82"/>
      <c r="G3"/>
      <c r="H3" s="82"/>
      <c r="I3"/>
    </row>
    <row r="4" spans="2:9" x14ac:dyDescent="0.25">
      <c r="B4" s="64" t="s">
        <v>365</v>
      </c>
      <c r="C4" s="66"/>
      <c r="D4" s="65"/>
      <c r="E4" s="65"/>
      <c r="F4" s="65"/>
      <c r="G4" s="65"/>
      <c r="H4" s="65"/>
      <c r="I4" s="65"/>
    </row>
    <row r="5" spans="2:9" x14ac:dyDescent="0.25">
      <c r="D5" s="82"/>
      <c r="E5"/>
      <c r="F5" s="82"/>
      <c r="G5"/>
      <c r="H5" s="82"/>
      <c r="I5"/>
    </row>
    <row r="6" spans="2:9" x14ac:dyDescent="0.25">
      <c r="B6" s="59" t="s">
        <v>342</v>
      </c>
      <c r="C6" s="58"/>
      <c r="H6" s="99"/>
      <c r="I6" s="99"/>
    </row>
    <row r="7" spans="2:9" hidden="1" outlineLevel="1" x14ac:dyDescent="0.25">
      <c r="B7" s="58"/>
      <c r="C7" s="58" t="s">
        <v>343</v>
      </c>
      <c r="D7" s="83" t="s">
        <v>344</v>
      </c>
      <c r="E7" s="47">
        <v>600</v>
      </c>
      <c r="F7" s="92" t="s">
        <v>345</v>
      </c>
      <c r="G7" s="49">
        <v>570</v>
      </c>
      <c r="H7" s="70" t="s">
        <v>345</v>
      </c>
      <c r="I7" s="70">
        <v>570</v>
      </c>
    </row>
    <row r="8" spans="2:9" hidden="1" outlineLevel="1" x14ac:dyDescent="0.25">
      <c r="B8" s="58"/>
      <c r="C8" s="58" t="s">
        <v>346</v>
      </c>
      <c r="D8" s="83" t="s">
        <v>358</v>
      </c>
      <c r="E8" s="47">
        <v>1200</v>
      </c>
      <c r="F8" s="92" t="s">
        <v>358</v>
      </c>
      <c r="G8" s="49">
        <v>1200</v>
      </c>
      <c r="H8" s="70" t="s">
        <v>429</v>
      </c>
      <c r="I8" s="70">
        <v>600</v>
      </c>
    </row>
    <row r="9" spans="2:9" hidden="1" outlineLevel="1" x14ac:dyDescent="0.25">
      <c r="B9" s="58"/>
      <c r="C9" s="58" t="s">
        <v>347</v>
      </c>
      <c r="D9" s="83" t="s">
        <v>348</v>
      </c>
      <c r="E9" s="47">
        <v>120</v>
      </c>
      <c r="F9" s="92" t="s">
        <v>348</v>
      </c>
      <c r="G9" s="49">
        <v>120</v>
      </c>
      <c r="H9" s="70" t="s">
        <v>430</v>
      </c>
      <c r="I9" s="70">
        <v>70</v>
      </c>
    </row>
    <row r="10" spans="2:9" hidden="1" outlineLevel="1" x14ac:dyDescent="0.25">
      <c r="B10" s="58"/>
      <c r="C10" s="58" t="s">
        <v>349</v>
      </c>
      <c r="E10" s="47">
        <v>50</v>
      </c>
      <c r="G10" s="49">
        <v>50</v>
      </c>
      <c r="H10" s="70"/>
      <c r="I10" s="70">
        <v>50</v>
      </c>
    </row>
    <row r="11" spans="2:9" hidden="1" outlineLevel="1" x14ac:dyDescent="0.25">
      <c r="B11" s="58"/>
      <c r="C11" s="58" t="s">
        <v>350</v>
      </c>
      <c r="D11" s="83" t="s">
        <v>351</v>
      </c>
      <c r="E11" s="47">
        <v>450</v>
      </c>
      <c r="F11" s="92" t="s">
        <v>352</v>
      </c>
      <c r="G11" s="49">
        <v>200</v>
      </c>
      <c r="H11" s="70" t="s">
        <v>431</v>
      </c>
      <c r="I11" s="70">
        <v>400</v>
      </c>
    </row>
    <row r="12" spans="2:9" hidden="1" outlineLevel="1" x14ac:dyDescent="0.25">
      <c r="B12" s="58"/>
      <c r="C12" s="58" t="s">
        <v>353</v>
      </c>
      <c r="E12" s="47">
        <v>100</v>
      </c>
      <c r="G12" s="49">
        <v>100</v>
      </c>
      <c r="H12" s="70"/>
      <c r="I12" s="70">
        <v>100</v>
      </c>
    </row>
    <row r="13" spans="2:9" hidden="1" outlineLevel="1" x14ac:dyDescent="0.25">
      <c r="B13" s="72"/>
      <c r="C13" s="72" t="s">
        <v>354</v>
      </c>
      <c r="D13" s="84"/>
      <c r="E13" s="61">
        <v>50</v>
      </c>
      <c r="F13" s="93"/>
      <c r="G13" s="62">
        <v>25</v>
      </c>
      <c r="H13" s="73"/>
      <c r="I13" s="73">
        <v>25</v>
      </c>
    </row>
    <row r="14" spans="2:9" collapsed="1" x14ac:dyDescent="0.25">
      <c r="B14" s="74"/>
      <c r="C14" s="74"/>
      <c r="D14" s="85"/>
      <c r="E14" s="75">
        <f>(1+$D$448+$D$449)*SUM(E7:E13)</f>
        <v>2852.7000000000003</v>
      </c>
      <c r="F14" s="94"/>
      <c r="G14" s="76">
        <f>(1+$D$448+$D$449)*SUM(G7:G13)</f>
        <v>2514.15</v>
      </c>
      <c r="H14" s="97"/>
      <c r="I14" s="77">
        <f>(1+$D$448+$D$449)*SUM(I7:I13)</f>
        <v>2014.65</v>
      </c>
    </row>
    <row r="15" spans="2:9" x14ac:dyDescent="0.25">
      <c r="B15" s="68"/>
      <c r="C15" s="68"/>
      <c r="D15" s="52"/>
      <c r="E15" s="52"/>
      <c r="F15" s="52"/>
      <c r="G15" s="52"/>
      <c r="H15" s="52"/>
      <c r="I15" s="52"/>
    </row>
    <row r="16" spans="2:9" x14ac:dyDescent="0.25">
      <c r="B16" s="59" t="s">
        <v>38</v>
      </c>
      <c r="C16" s="58"/>
      <c r="H16" s="70"/>
      <c r="I16" s="99"/>
    </row>
    <row r="17" spans="2:9" hidden="1" outlineLevel="1" x14ac:dyDescent="0.25">
      <c r="B17" s="58"/>
      <c r="C17" s="58" t="s">
        <v>38</v>
      </c>
      <c r="D17" s="83" t="s">
        <v>355</v>
      </c>
      <c r="E17" s="47">
        <v>2200</v>
      </c>
      <c r="F17" s="92" t="s">
        <v>355</v>
      </c>
      <c r="G17" s="49">
        <v>2200</v>
      </c>
      <c r="H17" s="70" t="s">
        <v>444</v>
      </c>
      <c r="I17" s="70">
        <v>1700</v>
      </c>
    </row>
    <row r="18" spans="2:9" hidden="1" outlineLevel="1" x14ac:dyDescent="0.25">
      <c r="B18" s="58"/>
      <c r="C18" s="58" t="s">
        <v>361</v>
      </c>
      <c r="D18" s="83" t="s">
        <v>359</v>
      </c>
      <c r="E18" s="47">
        <v>300</v>
      </c>
      <c r="F18" s="92" t="s">
        <v>359</v>
      </c>
      <c r="G18" s="49">
        <v>250</v>
      </c>
      <c r="H18" s="70" t="s">
        <v>445</v>
      </c>
      <c r="I18" s="70">
        <v>150</v>
      </c>
    </row>
    <row r="19" spans="2:9" hidden="1" outlineLevel="1" x14ac:dyDescent="0.25">
      <c r="B19" s="58"/>
      <c r="C19" s="58" t="s">
        <v>357</v>
      </c>
      <c r="E19" s="47">
        <v>150</v>
      </c>
      <c r="G19" s="49">
        <v>100</v>
      </c>
      <c r="H19" s="70"/>
      <c r="I19" s="70">
        <v>0</v>
      </c>
    </row>
    <row r="20" spans="2:9" hidden="1" outlineLevel="1" x14ac:dyDescent="0.25">
      <c r="B20" s="58"/>
      <c r="C20" s="58" t="s">
        <v>446</v>
      </c>
      <c r="D20" s="83" t="s">
        <v>393</v>
      </c>
      <c r="E20" s="47">
        <v>0</v>
      </c>
      <c r="F20" s="92" t="s">
        <v>393</v>
      </c>
      <c r="G20" s="49">
        <v>0</v>
      </c>
      <c r="H20" s="70" t="s">
        <v>393</v>
      </c>
      <c r="I20" s="70">
        <v>0</v>
      </c>
    </row>
    <row r="21" spans="2:9" collapsed="1" x14ac:dyDescent="0.25">
      <c r="B21" s="74"/>
      <c r="C21" s="74"/>
      <c r="D21" s="85"/>
      <c r="E21" s="75">
        <f>(1+$D$448+$D$449)*SUM(E16:E20)</f>
        <v>2941.5000000000005</v>
      </c>
      <c r="F21" s="94"/>
      <c r="G21" s="76">
        <f>(1+$D$448+$D$449)*SUM(G16:G20)</f>
        <v>2830.5000000000005</v>
      </c>
      <c r="H21" s="97"/>
      <c r="I21" s="77">
        <f>(1+$D$448+$D$449)*SUM(I16:I20)</f>
        <v>2053.5</v>
      </c>
    </row>
    <row r="22" spans="2:9" x14ac:dyDescent="0.25">
      <c r="B22"/>
      <c r="D22" s="82"/>
      <c r="E22"/>
      <c r="F22" s="82"/>
      <c r="G22"/>
      <c r="H22" s="82"/>
      <c r="I22"/>
    </row>
    <row r="23" spans="2:9" x14ac:dyDescent="0.25">
      <c r="B23" s="59" t="s">
        <v>447</v>
      </c>
      <c r="C23" s="58"/>
      <c r="H23" s="70"/>
      <c r="I23" s="100">
        <f>G28</f>
        <v>732.6</v>
      </c>
    </row>
    <row r="24" spans="2:9" hidden="1" outlineLevel="1" x14ac:dyDescent="0.25">
      <c r="B24" s="58"/>
      <c r="C24" s="58" t="s">
        <v>135</v>
      </c>
      <c r="D24" s="83" t="s">
        <v>360</v>
      </c>
      <c r="E24" s="47">
        <v>240</v>
      </c>
      <c r="F24" s="92" t="s">
        <v>362</v>
      </c>
      <c r="G24" s="49">
        <v>150</v>
      </c>
      <c r="H24" s="70" t="s">
        <v>448</v>
      </c>
      <c r="I24" s="70">
        <v>0</v>
      </c>
    </row>
    <row r="25" spans="2:9" hidden="1" outlineLevel="1" x14ac:dyDescent="0.25">
      <c r="B25" s="58"/>
      <c r="C25" s="58" t="s">
        <v>621</v>
      </c>
      <c r="D25" s="83" t="s">
        <v>622</v>
      </c>
      <c r="E25" s="47">
        <v>150</v>
      </c>
      <c r="F25" s="92" t="s">
        <v>622</v>
      </c>
      <c r="G25" s="49">
        <v>150</v>
      </c>
      <c r="H25" s="70"/>
      <c r="I25" s="70">
        <v>0</v>
      </c>
    </row>
    <row r="26" spans="2:9" hidden="1" outlineLevel="1" x14ac:dyDescent="0.25">
      <c r="B26" s="58"/>
      <c r="C26" s="58" t="s">
        <v>356</v>
      </c>
      <c r="D26" s="83" t="s">
        <v>363</v>
      </c>
      <c r="E26" s="47">
        <v>240</v>
      </c>
      <c r="F26" s="92" t="s">
        <v>363</v>
      </c>
      <c r="G26" s="49">
        <v>240</v>
      </c>
      <c r="H26" s="70" t="s">
        <v>448</v>
      </c>
      <c r="I26" s="70">
        <v>0</v>
      </c>
    </row>
    <row r="27" spans="2:9" hidden="1" outlineLevel="1" x14ac:dyDescent="0.25">
      <c r="B27" s="58"/>
      <c r="C27" s="58" t="s">
        <v>364</v>
      </c>
      <c r="E27" s="47">
        <v>150</v>
      </c>
      <c r="G27" s="49">
        <v>120</v>
      </c>
      <c r="H27" s="70" t="s">
        <v>449</v>
      </c>
      <c r="I27" s="70">
        <v>400</v>
      </c>
    </row>
    <row r="28" spans="2:9" collapsed="1" x14ac:dyDescent="0.25">
      <c r="B28" s="74"/>
      <c r="C28" s="74"/>
      <c r="D28" s="85"/>
      <c r="E28" s="75">
        <f>(1+$D$448+$D$449)*SUM(E24:E27)</f>
        <v>865.80000000000007</v>
      </c>
      <c r="F28" s="94"/>
      <c r="G28" s="76">
        <f>(1+$D$448+$D$449)*SUM(G24:G27)</f>
        <v>732.6</v>
      </c>
      <c r="H28" s="97"/>
      <c r="I28" s="77">
        <f>(1+$D$448+$D$449)*SUM(I24:I27)</f>
        <v>444.00000000000006</v>
      </c>
    </row>
    <row r="29" spans="2:9" x14ac:dyDescent="0.25">
      <c r="B29"/>
      <c r="D29" s="82"/>
      <c r="E29"/>
      <c r="F29" s="82"/>
      <c r="G29"/>
      <c r="H29" s="82"/>
      <c r="I29"/>
    </row>
    <row r="30" spans="2:9" x14ac:dyDescent="0.25">
      <c r="B30" s="64" t="s">
        <v>477</v>
      </c>
      <c r="C30" s="66"/>
      <c r="D30" s="65"/>
      <c r="E30" s="65"/>
      <c r="F30" s="65"/>
      <c r="G30" s="65"/>
      <c r="H30" s="65"/>
      <c r="I30" s="65"/>
    </row>
    <row r="31" spans="2:9" x14ac:dyDescent="0.25">
      <c r="D31" s="82"/>
      <c r="E31"/>
      <c r="F31" s="82"/>
      <c r="G31"/>
      <c r="H31" s="82"/>
      <c r="I31"/>
    </row>
    <row r="32" spans="2:9" x14ac:dyDescent="0.25">
      <c r="B32" s="59" t="s">
        <v>450</v>
      </c>
      <c r="C32" s="58"/>
      <c r="H32" s="70"/>
      <c r="I32" s="99"/>
    </row>
    <row r="33" spans="2:9" hidden="1" outlineLevel="1" x14ac:dyDescent="0.25">
      <c r="B33" s="58"/>
      <c r="C33" s="58" t="s">
        <v>453</v>
      </c>
      <c r="E33" s="47">
        <v>480</v>
      </c>
      <c r="G33" s="49">
        <v>400</v>
      </c>
      <c r="H33" s="70"/>
      <c r="I33" s="70">
        <v>400</v>
      </c>
    </row>
    <row r="34" spans="2:9" hidden="1" outlineLevel="1" x14ac:dyDescent="0.25">
      <c r="B34" s="58"/>
      <c r="C34" s="58" t="s">
        <v>454</v>
      </c>
      <c r="E34" s="47">
        <v>600</v>
      </c>
      <c r="G34" s="49">
        <v>500</v>
      </c>
      <c r="H34" s="70"/>
      <c r="I34" s="70">
        <v>500</v>
      </c>
    </row>
    <row r="35" spans="2:9" hidden="1" outlineLevel="1" x14ac:dyDescent="0.25">
      <c r="B35" s="58"/>
      <c r="C35" s="58" t="s">
        <v>455</v>
      </c>
      <c r="D35" s="83" t="s">
        <v>439</v>
      </c>
      <c r="E35" s="47">
        <v>960</v>
      </c>
      <c r="F35" s="92" t="s">
        <v>439</v>
      </c>
      <c r="G35" s="49">
        <v>800</v>
      </c>
      <c r="H35" s="70" t="s">
        <v>439</v>
      </c>
      <c r="I35" s="70">
        <v>800</v>
      </c>
    </row>
    <row r="36" spans="2:9" hidden="1" outlineLevel="1" x14ac:dyDescent="0.25">
      <c r="B36" s="58"/>
      <c r="C36" s="58" t="s">
        <v>456</v>
      </c>
      <c r="D36" s="83" t="s">
        <v>439</v>
      </c>
      <c r="E36" s="47">
        <v>660</v>
      </c>
      <c r="F36" s="92" t="s">
        <v>439</v>
      </c>
      <c r="G36" s="49">
        <v>550</v>
      </c>
      <c r="H36" s="70" t="s">
        <v>439</v>
      </c>
      <c r="I36" s="70">
        <v>550</v>
      </c>
    </row>
    <row r="37" spans="2:9" hidden="1" outlineLevel="1" x14ac:dyDescent="0.25">
      <c r="B37" s="58"/>
      <c r="C37" s="58" t="s">
        <v>457</v>
      </c>
      <c r="D37" s="83" t="s">
        <v>439</v>
      </c>
      <c r="E37" s="47">
        <v>600</v>
      </c>
      <c r="F37" s="92" t="s">
        <v>439</v>
      </c>
      <c r="G37" s="49">
        <v>500</v>
      </c>
      <c r="H37" s="70" t="s">
        <v>439</v>
      </c>
      <c r="I37" s="70">
        <v>500</v>
      </c>
    </row>
    <row r="38" spans="2:9" hidden="1" outlineLevel="1" x14ac:dyDescent="0.25">
      <c r="B38" s="58"/>
      <c r="C38" s="58" t="s">
        <v>459</v>
      </c>
      <c r="E38" s="47">
        <v>1200</v>
      </c>
      <c r="G38" s="49">
        <v>1000</v>
      </c>
      <c r="H38" s="70" t="s">
        <v>462</v>
      </c>
      <c r="I38" s="70">
        <v>500</v>
      </c>
    </row>
    <row r="39" spans="2:9" collapsed="1" x14ac:dyDescent="0.25">
      <c r="B39" s="74"/>
      <c r="C39" s="74"/>
      <c r="D39" s="85" t="s">
        <v>460</v>
      </c>
      <c r="E39" s="75">
        <f>(1+$D$448+$D$449)*SUM(E33:E38)</f>
        <v>4995</v>
      </c>
      <c r="F39" s="94" t="s">
        <v>461</v>
      </c>
      <c r="G39" s="76">
        <f>(1+$D$448+$D$449)*SUM(G33:G38)</f>
        <v>4162.5</v>
      </c>
      <c r="H39" s="97"/>
      <c r="I39" s="77">
        <f>(1+$D$448+$D$449)*SUM(I33:I38)</f>
        <v>3607.5000000000005</v>
      </c>
    </row>
    <row r="40" spans="2:9" x14ac:dyDescent="0.25">
      <c r="B40" s="68"/>
      <c r="C40" s="68"/>
      <c r="D40" s="52"/>
      <c r="E40" s="52"/>
      <c r="F40" s="52"/>
      <c r="G40" s="52"/>
      <c r="H40" s="52"/>
      <c r="I40" s="52"/>
    </row>
    <row r="41" spans="2:9" x14ac:dyDescent="0.25">
      <c r="B41" s="59" t="s">
        <v>458</v>
      </c>
      <c r="C41" s="58"/>
      <c r="H41" s="70"/>
      <c r="I41" s="99"/>
    </row>
    <row r="42" spans="2:9" hidden="1" outlineLevel="1" x14ac:dyDescent="0.25">
      <c r="B42" s="58"/>
      <c r="C42" s="58" t="s">
        <v>458</v>
      </c>
      <c r="E42" s="47">
        <v>2700</v>
      </c>
      <c r="G42" s="49">
        <v>2300</v>
      </c>
      <c r="H42" s="70"/>
      <c r="I42" s="70">
        <v>2300</v>
      </c>
    </row>
    <row r="43" spans="2:9" collapsed="1" x14ac:dyDescent="0.25">
      <c r="B43" s="74"/>
      <c r="C43" s="74"/>
      <c r="D43" s="85" t="s">
        <v>460</v>
      </c>
      <c r="E43" s="75">
        <f>(1+$D$448+$D$449)*SUM(E42:E42)</f>
        <v>2997.0000000000005</v>
      </c>
      <c r="F43" s="94" t="s">
        <v>461</v>
      </c>
      <c r="G43" s="76">
        <f>(1+$D$448+$D$449)*SUM(G42:G42)</f>
        <v>2553</v>
      </c>
      <c r="H43" s="97" t="s">
        <v>461</v>
      </c>
      <c r="I43" s="77">
        <f>(1+$D$448+$D$449)*SUM(I42:I42)</f>
        <v>2553</v>
      </c>
    </row>
    <row r="44" spans="2:9" x14ac:dyDescent="0.25">
      <c r="B44" s="68"/>
      <c r="C44" s="68"/>
      <c r="D44" s="52"/>
      <c r="E44" s="52"/>
      <c r="F44" s="52"/>
      <c r="G44" s="52"/>
      <c r="H44" s="52"/>
      <c r="I44" s="52"/>
    </row>
    <row r="45" spans="2:9" x14ac:dyDescent="0.25">
      <c r="B45" s="59" t="s">
        <v>451</v>
      </c>
      <c r="C45" s="58"/>
      <c r="H45" s="70"/>
      <c r="I45" s="100"/>
    </row>
    <row r="46" spans="2:9" hidden="1" outlineLevel="1" x14ac:dyDescent="0.25">
      <c r="B46" s="58"/>
      <c r="C46" s="58" t="s">
        <v>463</v>
      </c>
      <c r="E46" s="61">
        <v>140</v>
      </c>
      <c r="F46" s="93"/>
      <c r="G46" s="62">
        <v>100</v>
      </c>
      <c r="H46" s="73"/>
      <c r="I46" s="73">
        <v>100</v>
      </c>
    </row>
    <row r="47" spans="2:9" hidden="1" outlineLevel="1" x14ac:dyDescent="0.25">
      <c r="B47" s="58"/>
      <c r="C47" s="58" t="s">
        <v>464</v>
      </c>
      <c r="E47" s="61">
        <v>180</v>
      </c>
      <c r="F47" s="93"/>
      <c r="G47" s="62">
        <v>120</v>
      </c>
      <c r="H47" s="73"/>
      <c r="I47" s="73">
        <v>120</v>
      </c>
    </row>
    <row r="48" spans="2:9" hidden="1" outlineLevel="1" x14ac:dyDescent="0.25">
      <c r="B48" s="58"/>
      <c r="C48" s="58" t="s">
        <v>465</v>
      </c>
      <c r="E48" s="61">
        <v>210</v>
      </c>
      <c r="F48" s="93"/>
      <c r="G48" s="62">
        <v>150</v>
      </c>
      <c r="H48" s="73"/>
      <c r="I48" s="73">
        <v>150</v>
      </c>
    </row>
    <row r="49" spans="2:9" hidden="1" outlineLevel="1" x14ac:dyDescent="0.25">
      <c r="B49" s="58"/>
      <c r="C49" s="58" t="s">
        <v>466</v>
      </c>
      <c r="E49" s="61">
        <v>280</v>
      </c>
      <c r="F49" s="93"/>
      <c r="G49" s="62">
        <v>200</v>
      </c>
      <c r="H49" s="73"/>
      <c r="I49" s="73">
        <v>200</v>
      </c>
    </row>
    <row r="50" spans="2:9" hidden="1" outlineLevel="1" x14ac:dyDescent="0.25">
      <c r="B50" s="58"/>
      <c r="C50" s="58" t="s">
        <v>467</v>
      </c>
      <c r="E50" s="61">
        <v>105</v>
      </c>
      <c r="F50" s="93"/>
      <c r="G50" s="62">
        <v>75</v>
      </c>
      <c r="H50" s="73"/>
      <c r="I50" s="73">
        <v>75</v>
      </c>
    </row>
    <row r="51" spans="2:9" hidden="1" outlineLevel="1" x14ac:dyDescent="0.25">
      <c r="B51" s="58"/>
      <c r="C51" s="58" t="s">
        <v>468</v>
      </c>
      <c r="E51" s="61">
        <v>240</v>
      </c>
      <c r="F51" s="93"/>
      <c r="G51" s="62">
        <v>180</v>
      </c>
      <c r="H51" s="73"/>
      <c r="I51" s="73">
        <v>180</v>
      </c>
    </row>
    <row r="52" spans="2:9" hidden="1" outlineLevel="1" x14ac:dyDescent="0.25">
      <c r="B52" s="72"/>
      <c r="C52" s="72" t="s">
        <v>469</v>
      </c>
      <c r="D52" s="84"/>
      <c r="E52" s="61">
        <v>140</v>
      </c>
      <c r="F52" s="93"/>
      <c r="G52" s="62">
        <v>100</v>
      </c>
      <c r="H52" s="73"/>
      <c r="I52" s="73">
        <v>100</v>
      </c>
    </row>
    <row r="53" spans="2:9" hidden="1" outlineLevel="1" x14ac:dyDescent="0.25">
      <c r="B53" s="58"/>
      <c r="C53" s="58" t="s">
        <v>470</v>
      </c>
      <c r="E53" s="61">
        <v>210</v>
      </c>
      <c r="F53" s="93"/>
      <c r="G53" s="62">
        <v>150</v>
      </c>
      <c r="H53" s="73"/>
      <c r="I53" s="73">
        <v>150</v>
      </c>
    </row>
    <row r="54" spans="2:9" hidden="1" outlineLevel="1" x14ac:dyDescent="0.25">
      <c r="B54" s="58"/>
      <c r="C54" s="58" t="s">
        <v>471</v>
      </c>
      <c r="E54" s="47">
        <v>70</v>
      </c>
      <c r="G54" s="49">
        <v>50</v>
      </c>
      <c r="H54" s="70"/>
      <c r="I54" s="70">
        <v>50</v>
      </c>
    </row>
    <row r="55" spans="2:9" hidden="1" outlineLevel="1" x14ac:dyDescent="0.25">
      <c r="B55" s="58"/>
      <c r="C55" s="58" t="s">
        <v>472</v>
      </c>
      <c r="E55" s="47">
        <v>40</v>
      </c>
      <c r="G55" s="49">
        <v>25</v>
      </c>
      <c r="H55" s="70"/>
      <c r="I55" s="70">
        <v>25</v>
      </c>
    </row>
    <row r="56" spans="2:9" hidden="1" outlineLevel="1" x14ac:dyDescent="0.25">
      <c r="B56" s="58"/>
      <c r="C56" s="58" t="s">
        <v>473</v>
      </c>
      <c r="E56" s="47">
        <v>100</v>
      </c>
      <c r="G56" s="49">
        <v>75</v>
      </c>
      <c r="H56" s="70"/>
      <c r="I56" s="70">
        <v>75</v>
      </c>
    </row>
    <row r="57" spans="2:9" hidden="1" outlineLevel="1" x14ac:dyDescent="0.25">
      <c r="B57" s="58"/>
      <c r="C57" s="58" t="s">
        <v>474</v>
      </c>
      <c r="E57" s="47">
        <v>70</v>
      </c>
      <c r="G57" s="49">
        <v>50</v>
      </c>
      <c r="H57" s="70"/>
      <c r="I57" s="70">
        <v>50</v>
      </c>
    </row>
    <row r="58" spans="2:9" collapsed="1" x14ac:dyDescent="0.25">
      <c r="B58" s="74"/>
      <c r="C58" s="74"/>
      <c r="D58" s="85" t="s">
        <v>475</v>
      </c>
      <c r="E58" s="75">
        <f>(1+$D$448+$D$449)*SUM(E46:E57)</f>
        <v>1981.3500000000001</v>
      </c>
      <c r="F58" s="94" t="s">
        <v>476</v>
      </c>
      <c r="G58" s="76">
        <f>(1+$D$448+$D$449)*SUM(G46:G57)</f>
        <v>1415.2500000000002</v>
      </c>
      <c r="H58" s="97" t="s">
        <v>476</v>
      </c>
      <c r="I58" s="77">
        <v>1415.2500000000002</v>
      </c>
    </row>
    <row r="59" spans="2:9" x14ac:dyDescent="0.25">
      <c r="B59" s="68"/>
      <c r="C59" s="68"/>
      <c r="D59" s="52"/>
      <c r="E59" s="52"/>
      <c r="F59" s="52"/>
      <c r="G59" s="52"/>
      <c r="H59" s="52"/>
      <c r="I59" s="52"/>
    </row>
    <row r="60" spans="2:9" x14ac:dyDescent="0.25">
      <c r="B60" s="59" t="s">
        <v>264</v>
      </c>
      <c r="C60" s="58"/>
      <c r="H60" s="70"/>
      <c r="I60" s="100"/>
    </row>
    <row r="61" spans="2:9" hidden="1" outlineLevel="1" x14ac:dyDescent="0.25">
      <c r="B61" s="72"/>
      <c r="C61" s="72" t="s">
        <v>478</v>
      </c>
      <c r="D61" s="84"/>
      <c r="E61" s="61">
        <v>50</v>
      </c>
      <c r="F61" s="93"/>
      <c r="G61" s="62">
        <v>160</v>
      </c>
      <c r="H61" s="73"/>
      <c r="I61" s="73">
        <v>160</v>
      </c>
    </row>
    <row r="62" spans="2:9" hidden="1" outlineLevel="1" x14ac:dyDescent="0.25">
      <c r="B62" s="58"/>
      <c r="C62" s="58" t="s">
        <v>479</v>
      </c>
      <c r="E62" s="47">
        <v>100</v>
      </c>
      <c r="G62" s="49">
        <v>80</v>
      </c>
      <c r="H62" s="70"/>
      <c r="I62" s="70">
        <v>80</v>
      </c>
    </row>
    <row r="63" spans="2:9" hidden="1" outlineLevel="1" x14ac:dyDescent="0.25">
      <c r="B63" s="58"/>
      <c r="C63" s="58" t="s">
        <v>480</v>
      </c>
      <c r="E63" s="47">
        <v>150</v>
      </c>
      <c r="G63" s="49">
        <v>120</v>
      </c>
      <c r="H63" s="70"/>
      <c r="I63" s="70">
        <v>120</v>
      </c>
    </row>
    <row r="64" spans="2:9" hidden="1" outlineLevel="1" x14ac:dyDescent="0.25">
      <c r="B64" s="58"/>
      <c r="C64" s="58" t="s">
        <v>481</v>
      </c>
      <c r="E64" s="47">
        <v>200</v>
      </c>
      <c r="G64" s="49">
        <v>160</v>
      </c>
      <c r="H64" s="70"/>
      <c r="I64" s="70">
        <v>160</v>
      </c>
    </row>
    <row r="65" spans="2:9" hidden="1" outlineLevel="1" x14ac:dyDescent="0.25">
      <c r="B65" s="58"/>
      <c r="C65" s="58" t="s">
        <v>482</v>
      </c>
      <c r="E65" s="47">
        <v>50</v>
      </c>
      <c r="G65" s="49">
        <v>40</v>
      </c>
      <c r="H65" s="70"/>
      <c r="I65" s="70">
        <v>40</v>
      </c>
    </row>
    <row r="66" spans="2:9" hidden="1" outlineLevel="1" x14ac:dyDescent="0.25">
      <c r="B66" s="58"/>
      <c r="C66" s="58" t="s">
        <v>483</v>
      </c>
      <c r="E66" s="47">
        <v>100</v>
      </c>
      <c r="G66" s="49">
        <v>80</v>
      </c>
      <c r="H66" s="70"/>
      <c r="I66" s="70">
        <v>80</v>
      </c>
    </row>
    <row r="67" spans="2:9" hidden="1" outlineLevel="1" x14ac:dyDescent="0.25">
      <c r="B67" s="58"/>
      <c r="C67" s="58" t="s">
        <v>484</v>
      </c>
      <c r="E67" s="47">
        <v>100</v>
      </c>
      <c r="G67" s="49">
        <v>80</v>
      </c>
      <c r="H67" s="70"/>
      <c r="I67" s="70">
        <v>80</v>
      </c>
    </row>
    <row r="68" spans="2:9" hidden="1" outlineLevel="1" x14ac:dyDescent="0.25">
      <c r="B68" s="72"/>
      <c r="C68" s="72" t="s">
        <v>485</v>
      </c>
      <c r="D68" s="84"/>
      <c r="E68" s="61">
        <v>100</v>
      </c>
      <c r="F68" s="93"/>
      <c r="G68" s="62">
        <v>80</v>
      </c>
      <c r="H68" s="73"/>
      <c r="I68" s="73">
        <v>80</v>
      </c>
    </row>
    <row r="69" spans="2:9" collapsed="1" x14ac:dyDescent="0.25">
      <c r="B69" s="74"/>
      <c r="C69" s="74"/>
      <c r="D69" s="85" t="s">
        <v>486</v>
      </c>
      <c r="E69" s="75">
        <f>(1+$D$448+$D$449)*SUM(E61:E68)</f>
        <v>943.50000000000011</v>
      </c>
      <c r="F69" s="94" t="s">
        <v>487</v>
      </c>
      <c r="G69" s="76">
        <f>(1+$D$448+$D$449)*SUM(G61:G68)</f>
        <v>888.00000000000011</v>
      </c>
      <c r="H69" s="97"/>
      <c r="I69" s="77">
        <f>(1+$D$448+$D$449)*SUM(I61:I68)</f>
        <v>888.00000000000011</v>
      </c>
    </row>
    <row r="70" spans="2:9" x14ac:dyDescent="0.25">
      <c r="B70" s="68"/>
      <c r="C70" s="68"/>
      <c r="D70" s="52"/>
      <c r="E70" s="52"/>
      <c r="F70" s="52"/>
      <c r="G70" s="52"/>
      <c r="H70" s="52"/>
      <c r="I70" s="52"/>
    </row>
    <row r="71" spans="2:9" x14ac:dyDescent="0.25">
      <c r="B71" s="59" t="s">
        <v>452</v>
      </c>
      <c r="C71" s="58"/>
      <c r="H71" s="70"/>
      <c r="I71" s="70">
        <f>G76</f>
        <v>8103.0000000000009</v>
      </c>
    </row>
    <row r="72" spans="2:9" hidden="1" outlineLevel="1" x14ac:dyDescent="0.25">
      <c r="B72" s="58"/>
      <c r="C72" s="58" t="s">
        <v>488</v>
      </c>
      <c r="E72" s="47">
        <v>2500</v>
      </c>
      <c r="G72" s="49">
        <v>2000</v>
      </c>
      <c r="H72" s="70"/>
      <c r="I72" s="70">
        <v>2000</v>
      </c>
    </row>
    <row r="73" spans="2:9" hidden="1" outlineLevel="1" x14ac:dyDescent="0.25">
      <c r="B73" s="58"/>
      <c r="C73" s="58" t="s">
        <v>489</v>
      </c>
      <c r="E73" s="47">
        <v>2000</v>
      </c>
      <c r="G73" s="49">
        <v>1500</v>
      </c>
      <c r="H73" s="70"/>
      <c r="I73" s="70">
        <v>1500</v>
      </c>
    </row>
    <row r="74" spans="2:9" hidden="1" outlineLevel="1" x14ac:dyDescent="0.25">
      <c r="B74" s="58"/>
      <c r="C74" s="58" t="s">
        <v>490</v>
      </c>
      <c r="E74" s="47">
        <v>2400</v>
      </c>
      <c r="G74" s="49">
        <v>1800</v>
      </c>
      <c r="H74" s="70"/>
      <c r="I74" s="70">
        <v>1800</v>
      </c>
    </row>
    <row r="75" spans="2:9" hidden="1" outlineLevel="1" x14ac:dyDescent="0.25">
      <c r="B75" s="58"/>
      <c r="C75" s="58" t="s">
        <v>491</v>
      </c>
      <c r="E75" s="47">
        <v>2500</v>
      </c>
      <c r="G75" s="49">
        <v>2000</v>
      </c>
      <c r="H75" s="70"/>
      <c r="I75" s="70">
        <v>2000</v>
      </c>
    </row>
    <row r="76" spans="2:9" collapsed="1" x14ac:dyDescent="0.25">
      <c r="B76" s="74"/>
      <c r="C76" s="74"/>
      <c r="D76" s="85"/>
      <c r="E76" s="75">
        <f>(1+$D$448+$D$449)*SUM(E72:E75)</f>
        <v>10434.000000000002</v>
      </c>
      <c r="F76" s="94"/>
      <c r="G76" s="76">
        <f>(1+$D$448+$D$449)*SUM(G72:G75)</f>
        <v>8103.0000000000009</v>
      </c>
      <c r="H76" s="97"/>
      <c r="I76" s="77">
        <f>(1+$D$448+$D$449)*SUM(I72:I75)</f>
        <v>8103.0000000000009</v>
      </c>
    </row>
    <row r="77" spans="2:9" x14ac:dyDescent="0.25">
      <c r="B77" s="68"/>
      <c r="C77" s="68"/>
      <c r="D77" s="52"/>
      <c r="E77" s="52"/>
      <c r="F77" s="52"/>
      <c r="G77" s="52"/>
      <c r="H77" s="52"/>
      <c r="I77" s="52"/>
    </row>
    <row r="78" spans="2:9" x14ac:dyDescent="0.25">
      <c r="B78" s="64" t="s">
        <v>366</v>
      </c>
      <c r="C78" s="66"/>
      <c r="D78" s="65"/>
      <c r="E78" s="65"/>
      <c r="F78" s="65"/>
      <c r="G78" s="65"/>
      <c r="H78" s="65"/>
      <c r="I78" s="65"/>
    </row>
    <row r="79" spans="2:9" x14ac:dyDescent="0.25">
      <c r="D79" s="82"/>
      <c r="E79"/>
      <c r="F79" s="82"/>
      <c r="G79"/>
      <c r="H79" s="82"/>
      <c r="I79"/>
    </row>
    <row r="80" spans="2:9" x14ac:dyDescent="0.25">
      <c r="B80" s="59" t="s">
        <v>376</v>
      </c>
      <c r="C80" s="58"/>
      <c r="H80" s="70"/>
      <c r="I80" s="100"/>
    </row>
    <row r="81" spans="2:9" hidden="1" outlineLevel="1" x14ac:dyDescent="0.25">
      <c r="B81" s="58"/>
      <c r="C81" s="58" t="s">
        <v>334</v>
      </c>
      <c r="D81" s="83" t="s">
        <v>375</v>
      </c>
      <c r="E81" s="47">
        <v>3200</v>
      </c>
      <c r="F81" s="92" t="s">
        <v>375</v>
      </c>
      <c r="G81" s="49">
        <v>2700</v>
      </c>
      <c r="H81" s="70" t="s">
        <v>375</v>
      </c>
      <c r="I81" s="70">
        <v>2700</v>
      </c>
    </row>
    <row r="82" spans="2:9" hidden="1" outlineLevel="1" x14ac:dyDescent="0.25">
      <c r="B82" s="58"/>
      <c r="C82" s="58" t="s">
        <v>335</v>
      </c>
      <c r="E82" s="47">
        <v>1000</v>
      </c>
      <c r="G82" s="49">
        <v>500</v>
      </c>
      <c r="H82" s="70"/>
      <c r="I82" s="70">
        <v>500</v>
      </c>
    </row>
    <row r="83" spans="2:9" hidden="1" outlineLevel="1" x14ac:dyDescent="0.25">
      <c r="B83" s="58"/>
      <c r="C83" s="58" t="s">
        <v>336</v>
      </c>
      <c r="E83" s="47">
        <v>300</v>
      </c>
      <c r="G83" s="49">
        <v>300</v>
      </c>
      <c r="H83" s="70"/>
      <c r="I83" s="70">
        <v>300</v>
      </c>
    </row>
    <row r="84" spans="2:9" collapsed="1" x14ac:dyDescent="0.25">
      <c r="B84" s="74"/>
      <c r="C84" s="74"/>
      <c r="D84" s="85"/>
      <c r="E84" s="75">
        <f>(1+$D$448+$D$449)*SUM(E81:E83)</f>
        <v>4995</v>
      </c>
      <c r="F84" s="94"/>
      <c r="G84" s="76">
        <f>(1+$D$448+$D$449)*SUM(G81:G83)</f>
        <v>3885.0000000000005</v>
      </c>
      <c r="H84" s="97"/>
      <c r="I84" s="77">
        <f>(1+$D$448+$D$449)*SUM(I81:I83)</f>
        <v>3885.0000000000005</v>
      </c>
    </row>
    <row r="85" spans="2:9" x14ac:dyDescent="0.25">
      <c r="D85" s="82"/>
      <c r="E85"/>
      <c r="F85" s="82"/>
      <c r="G85"/>
      <c r="H85" s="82"/>
      <c r="I85"/>
    </row>
    <row r="86" spans="2:9" x14ac:dyDescent="0.25">
      <c r="B86" s="59" t="s">
        <v>340</v>
      </c>
      <c r="C86" s="58"/>
      <c r="H86" s="70"/>
      <c r="I86" s="100"/>
    </row>
    <row r="87" spans="2:9" hidden="1" outlineLevel="1" x14ac:dyDescent="0.25">
      <c r="B87" s="58"/>
      <c r="C87" s="58" t="s">
        <v>337</v>
      </c>
      <c r="E87" s="47">
        <v>720</v>
      </c>
      <c r="G87" s="49">
        <v>400</v>
      </c>
      <c r="H87" s="70"/>
      <c r="I87" s="70">
        <v>400</v>
      </c>
    </row>
    <row r="88" spans="2:9" hidden="1" outlineLevel="1" x14ac:dyDescent="0.25">
      <c r="B88" s="58"/>
      <c r="C88" s="58" t="s">
        <v>109</v>
      </c>
      <c r="E88" s="47">
        <v>500</v>
      </c>
      <c r="G88" s="49">
        <v>300</v>
      </c>
      <c r="H88" s="70"/>
      <c r="I88" s="70">
        <v>300</v>
      </c>
    </row>
    <row r="89" spans="2:9" hidden="1" outlineLevel="1" x14ac:dyDescent="0.25">
      <c r="B89" s="58"/>
      <c r="C89" s="58" t="s">
        <v>339</v>
      </c>
      <c r="E89" s="47">
        <v>200</v>
      </c>
      <c r="G89" s="49">
        <v>150</v>
      </c>
      <c r="H89" s="70"/>
      <c r="I89" s="70">
        <v>150</v>
      </c>
    </row>
    <row r="90" spans="2:9" hidden="1" outlineLevel="1" x14ac:dyDescent="0.25">
      <c r="B90" s="58"/>
      <c r="C90" s="58" t="s">
        <v>338</v>
      </c>
      <c r="E90" s="47">
        <v>150</v>
      </c>
      <c r="G90" s="49">
        <v>100</v>
      </c>
      <c r="H90" s="70"/>
      <c r="I90" s="70">
        <v>100</v>
      </c>
    </row>
    <row r="91" spans="2:9" collapsed="1" x14ac:dyDescent="0.25">
      <c r="B91" s="74"/>
      <c r="C91" s="74"/>
      <c r="D91" s="85"/>
      <c r="E91" s="75">
        <f>(1+$D$448+$D$449)*SUM(E86:E90)</f>
        <v>1742.7</v>
      </c>
      <c r="F91" s="94"/>
      <c r="G91" s="76">
        <f>(1+$D$448+$D$449)*SUM(G86:G90)</f>
        <v>1054.5</v>
      </c>
      <c r="H91" s="97"/>
      <c r="I91" s="77">
        <f>(1+$D$448+$D$449)*SUM(I86:I90)</f>
        <v>1054.5</v>
      </c>
    </row>
    <row r="92" spans="2:9" x14ac:dyDescent="0.25">
      <c r="D92" s="82"/>
      <c r="E92"/>
      <c r="F92" s="82"/>
      <c r="G92"/>
      <c r="H92" s="82"/>
      <c r="I92"/>
    </row>
    <row r="93" spans="2:9" x14ac:dyDescent="0.25">
      <c r="B93" s="59" t="s">
        <v>341</v>
      </c>
      <c r="C93" s="58"/>
      <c r="H93" s="70"/>
      <c r="I93" s="100"/>
    </row>
    <row r="94" spans="2:9" hidden="1" outlineLevel="1" x14ac:dyDescent="0.25">
      <c r="B94" s="58"/>
      <c r="C94" s="58" t="s">
        <v>337</v>
      </c>
      <c r="E94" s="47">
        <v>500</v>
      </c>
      <c r="G94" s="49">
        <v>400</v>
      </c>
      <c r="H94" s="70"/>
      <c r="I94" s="70">
        <v>400</v>
      </c>
    </row>
    <row r="95" spans="2:9" hidden="1" outlineLevel="1" x14ac:dyDescent="0.25">
      <c r="B95" s="58"/>
      <c r="C95" s="58" t="s">
        <v>109</v>
      </c>
      <c r="E95" s="47">
        <v>1000</v>
      </c>
      <c r="G95" s="49">
        <v>700</v>
      </c>
      <c r="H95" s="70"/>
      <c r="I95" s="70">
        <v>700</v>
      </c>
    </row>
    <row r="96" spans="2:9" hidden="1" outlineLevel="1" x14ac:dyDescent="0.25">
      <c r="B96" s="58"/>
      <c r="C96" s="58" t="s">
        <v>339</v>
      </c>
      <c r="E96" s="47">
        <v>200</v>
      </c>
      <c r="G96" s="49">
        <v>150</v>
      </c>
      <c r="H96" s="70"/>
      <c r="I96" s="70">
        <v>150</v>
      </c>
    </row>
    <row r="97" spans="2:9" collapsed="1" x14ac:dyDescent="0.25">
      <c r="B97" s="74"/>
      <c r="C97" s="74"/>
      <c r="D97" s="85"/>
      <c r="E97" s="75">
        <f>(1+$D$448+$D$449)*SUM(E94:E96)</f>
        <v>1887.0000000000002</v>
      </c>
      <c r="F97" s="94"/>
      <c r="G97" s="76">
        <f>(1+$D$448+$D$449)*SUM(G94:G96)</f>
        <v>1387.5000000000002</v>
      </c>
      <c r="H97" s="97"/>
      <c r="I97" s="77">
        <f>(1+$D$448+$D$449)*SUM(I94:I96)</f>
        <v>1387.5000000000002</v>
      </c>
    </row>
    <row r="98" spans="2:9" x14ac:dyDescent="0.25">
      <c r="D98" s="82"/>
      <c r="E98"/>
      <c r="F98" s="82"/>
      <c r="G98"/>
      <c r="H98" s="82"/>
      <c r="I98"/>
    </row>
    <row r="99" spans="2:9" x14ac:dyDescent="0.25">
      <c r="B99" s="59" t="s">
        <v>440</v>
      </c>
      <c r="C99" s="60"/>
      <c r="H99" s="70"/>
      <c r="I99" s="100"/>
    </row>
    <row r="100" spans="2:9" hidden="1" outlineLevel="1" x14ac:dyDescent="0.25">
      <c r="B100" s="58"/>
      <c r="C100" s="58" t="s">
        <v>434</v>
      </c>
      <c r="D100" s="86" t="s">
        <v>435</v>
      </c>
      <c r="E100" s="78">
        <v>900</v>
      </c>
      <c r="F100" s="95" t="s">
        <v>435</v>
      </c>
      <c r="G100" s="79">
        <v>900</v>
      </c>
      <c r="H100" s="80" t="s">
        <v>435</v>
      </c>
      <c r="I100" s="80">
        <v>900</v>
      </c>
    </row>
    <row r="101" spans="2:9" hidden="1" outlineLevel="1" x14ac:dyDescent="0.25">
      <c r="B101" s="58"/>
      <c r="C101" s="58" t="s">
        <v>101</v>
      </c>
      <c r="D101" s="83" t="s">
        <v>436</v>
      </c>
      <c r="E101" s="47">
        <v>600</v>
      </c>
      <c r="F101" s="92" t="s">
        <v>436</v>
      </c>
      <c r="G101" s="49">
        <v>600</v>
      </c>
      <c r="H101" s="70" t="s">
        <v>436</v>
      </c>
      <c r="I101" s="70">
        <v>600</v>
      </c>
    </row>
    <row r="102" spans="2:9" hidden="1" outlineLevel="1" x14ac:dyDescent="0.25">
      <c r="B102" s="58"/>
      <c r="C102" s="58" t="s">
        <v>102</v>
      </c>
      <c r="D102" s="83" t="s">
        <v>438</v>
      </c>
      <c r="E102" s="47">
        <v>150</v>
      </c>
      <c r="G102" s="49">
        <v>150</v>
      </c>
      <c r="H102" s="70"/>
      <c r="I102" s="70">
        <v>150</v>
      </c>
    </row>
    <row r="103" spans="2:9" hidden="1" outlineLevel="1" x14ac:dyDescent="0.25">
      <c r="B103" s="58"/>
      <c r="C103" s="58" t="s">
        <v>103</v>
      </c>
      <c r="D103" s="83" t="s">
        <v>438</v>
      </c>
      <c r="E103" s="47">
        <v>200</v>
      </c>
      <c r="G103" s="49">
        <v>200</v>
      </c>
      <c r="H103" s="70"/>
      <c r="I103" s="70">
        <v>200</v>
      </c>
    </row>
    <row r="104" spans="2:9" hidden="1" outlineLevel="1" x14ac:dyDescent="0.25">
      <c r="B104" s="58"/>
      <c r="C104" s="58" t="s">
        <v>105</v>
      </c>
      <c r="E104" s="47">
        <v>100</v>
      </c>
      <c r="G104" s="49">
        <v>50</v>
      </c>
      <c r="H104" s="70"/>
      <c r="I104" s="70">
        <v>50</v>
      </c>
    </row>
    <row r="105" spans="2:9" hidden="1" outlineLevel="1" x14ac:dyDescent="0.25">
      <c r="B105" s="58"/>
      <c r="C105" s="58" t="s">
        <v>441</v>
      </c>
      <c r="E105" s="47">
        <v>100</v>
      </c>
      <c r="G105" s="49">
        <v>100</v>
      </c>
      <c r="H105" s="70"/>
      <c r="I105" s="70">
        <v>100</v>
      </c>
    </row>
    <row r="106" spans="2:9" hidden="1" outlineLevel="1" x14ac:dyDescent="0.25">
      <c r="B106" s="58"/>
      <c r="C106" s="58" t="s">
        <v>106</v>
      </c>
      <c r="E106" s="47">
        <v>200</v>
      </c>
      <c r="G106" s="49">
        <v>150</v>
      </c>
      <c r="H106" s="70"/>
      <c r="I106" s="70">
        <v>100</v>
      </c>
    </row>
    <row r="107" spans="2:9" collapsed="1" x14ac:dyDescent="0.25">
      <c r="B107" s="74"/>
      <c r="C107" s="74"/>
      <c r="D107" s="85"/>
      <c r="E107" s="75">
        <f>(1+$D$448+$D$449)*SUM(E100:E106)</f>
        <v>2497.5</v>
      </c>
      <c r="F107" s="94"/>
      <c r="G107" s="76">
        <f>(1+$D$448+$D$449)*SUM(G100:G106)</f>
        <v>2386.5</v>
      </c>
      <c r="H107" s="97"/>
      <c r="I107" s="77">
        <f>(1+$D$448+$D$449)*SUM(I100:I106)</f>
        <v>2331</v>
      </c>
    </row>
    <row r="108" spans="2:9" x14ac:dyDescent="0.25">
      <c r="B108"/>
      <c r="D108" s="82"/>
      <c r="E108"/>
      <c r="F108" s="82"/>
      <c r="G108"/>
      <c r="H108" s="82"/>
      <c r="I108"/>
    </row>
    <row r="109" spans="2:9" x14ac:dyDescent="0.25">
      <c r="B109" s="59" t="s">
        <v>377</v>
      </c>
      <c r="C109" s="58"/>
      <c r="H109" s="70"/>
      <c r="I109" s="100"/>
    </row>
    <row r="110" spans="2:9" hidden="1" outlineLevel="1" x14ac:dyDescent="0.25">
      <c r="B110" s="58"/>
      <c r="C110" s="58" t="s">
        <v>109</v>
      </c>
      <c r="D110" s="83" t="s">
        <v>312</v>
      </c>
      <c r="E110" s="47">
        <v>1000</v>
      </c>
      <c r="F110" s="92" t="s">
        <v>313</v>
      </c>
      <c r="G110" s="49">
        <v>600</v>
      </c>
      <c r="H110" s="70" t="s">
        <v>313</v>
      </c>
      <c r="I110" s="70">
        <v>600</v>
      </c>
    </row>
    <row r="111" spans="2:9" hidden="1" outlineLevel="1" x14ac:dyDescent="0.25">
      <c r="B111" s="58"/>
      <c r="C111" s="58" t="s">
        <v>107</v>
      </c>
      <c r="E111" s="47">
        <v>150</v>
      </c>
      <c r="G111" s="49">
        <v>100</v>
      </c>
      <c r="H111" s="70"/>
      <c r="I111" s="70">
        <v>100</v>
      </c>
    </row>
    <row r="112" spans="2:9" hidden="1" outlineLevel="1" x14ac:dyDescent="0.25">
      <c r="B112" s="58"/>
      <c r="C112" s="58" t="s">
        <v>108</v>
      </c>
      <c r="E112" s="47">
        <v>200</v>
      </c>
      <c r="G112" s="49">
        <v>150</v>
      </c>
      <c r="H112" s="70"/>
      <c r="I112" s="70">
        <v>150</v>
      </c>
    </row>
    <row r="113" spans="2:9" collapsed="1" x14ac:dyDescent="0.25">
      <c r="B113" s="74"/>
      <c r="C113" s="74"/>
      <c r="D113" s="85"/>
      <c r="E113" s="75">
        <f>(1+$D$448+$D$449)*SUM(E110:E112)</f>
        <v>1498.5000000000002</v>
      </c>
      <c r="F113" s="94"/>
      <c r="G113" s="76">
        <f>(1+$D$448+$D$449)*SUM(G110:G112)</f>
        <v>943.50000000000011</v>
      </c>
      <c r="H113" s="97"/>
      <c r="I113" s="77">
        <f>(1+$D$448+$D$449)*SUM(I110:I112)</f>
        <v>943.50000000000011</v>
      </c>
    </row>
    <row r="114" spans="2:9" x14ac:dyDescent="0.25">
      <c r="D114" s="52"/>
      <c r="E114" s="52"/>
      <c r="F114" s="52"/>
      <c r="G114" s="52"/>
      <c r="H114" s="52"/>
      <c r="I114" s="52"/>
    </row>
    <row r="115" spans="2:9" x14ac:dyDescent="0.25">
      <c r="B115" s="59" t="s">
        <v>443</v>
      </c>
      <c r="C115" s="60"/>
      <c r="H115" s="70"/>
      <c r="I115" s="100"/>
    </row>
    <row r="116" spans="2:9" hidden="1" outlineLevel="1" x14ac:dyDescent="0.25">
      <c r="B116" s="58"/>
      <c r="C116" s="58" t="s">
        <v>101</v>
      </c>
      <c r="D116" s="83" t="s">
        <v>437</v>
      </c>
      <c r="E116" s="47">
        <v>1200</v>
      </c>
      <c r="F116" s="92" t="s">
        <v>437</v>
      </c>
      <c r="G116" s="49">
        <v>1200</v>
      </c>
      <c r="H116" s="70" t="s">
        <v>437</v>
      </c>
      <c r="I116" s="70">
        <v>1200</v>
      </c>
    </row>
    <row r="117" spans="2:9" hidden="1" outlineLevel="1" x14ac:dyDescent="0.25">
      <c r="B117" s="58"/>
      <c r="C117" s="58" t="s">
        <v>102</v>
      </c>
      <c r="D117" s="83" t="s">
        <v>439</v>
      </c>
      <c r="E117" s="47">
        <v>300</v>
      </c>
      <c r="G117" s="49">
        <v>300</v>
      </c>
      <c r="H117" s="70"/>
      <c r="I117" s="70">
        <v>300</v>
      </c>
    </row>
    <row r="118" spans="2:9" hidden="1" outlineLevel="1" x14ac:dyDescent="0.25">
      <c r="B118" s="58"/>
      <c r="C118" s="58" t="s">
        <v>104</v>
      </c>
      <c r="E118" s="47">
        <v>180</v>
      </c>
      <c r="G118" s="49">
        <v>180</v>
      </c>
      <c r="H118" s="70"/>
      <c r="I118" s="70">
        <v>180</v>
      </c>
    </row>
    <row r="119" spans="2:9" hidden="1" outlineLevel="1" x14ac:dyDescent="0.25">
      <c r="B119" s="58"/>
      <c r="C119" s="58" t="s">
        <v>441</v>
      </c>
      <c r="E119" s="47">
        <v>150</v>
      </c>
      <c r="G119" s="49">
        <v>150</v>
      </c>
      <c r="H119" s="70"/>
      <c r="I119" s="70">
        <v>150</v>
      </c>
    </row>
    <row r="120" spans="2:9" hidden="1" outlineLevel="1" x14ac:dyDescent="0.25">
      <c r="B120" s="58"/>
      <c r="C120" s="58" t="s">
        <v>442</v>
      </c>
      <c r="E120" s="47">
        <v>200</v>
      </c>
      <c r="G120" s="49">
        <v>150</v>
      </c>
      <c r="H120" s="70"/>
      <c r="I120" s="70">
        <v>100</v>
      </c>
    </row>
    <row r="121" spans="2:9" hidden="1" outlineLevel="1" x14ac:dyDescent="0.25">
      <c r="B121" s="58"/>
      <c r="C121" s="58" t="s">
        <v>106</v>
      </c>
      <c r="E121" s="47">
        <v>300</v>
      </c>
      <c r="G121" s="49">
        <v>200</v>
      </c>
      <c r="H121" s="70"/>
      <c r="I121" s="70">
        <v>150</v>
      </c>
    </row>
    <row r="122" spans="2:9" collapsed="1" x14ac:dyDescent="0.25">
      <c r="B122" s="74"/>
      <c r="C122" s="74"/>
      <c r="D122" s="85"/>
      <c r="E122" s="75">
        <f>(1+$D$448+$D$449)*SUM(E116:E121)</f>
        <v>2586.3000000000002</v>
      </c>
      <c r="F122" s="94"/>
      <c r="G122" s="76">
        <f>(1+$D$448+$D$449)*SUM(G116:G121)</f>
        <v>2419.8000000000002</v>
      </c>
      <c r="H122" s="97"/>
      <c r="I122" s="77">
        <f>(1+$D$448+$D$449)*SUM(I116:I121)</f>
        <v>2308.8000000000002</v>
      </c>
    </row>
    <row r="123" spans="2:9" x14ac:dyDescent="0.25">
      <c r="B123"/>
      <c r="D123" s="82"/>
      <c r="E123"/>
      <c r="F123" s="82"/>
      <c r="G123"/>
      <c r="H123" s="82"/>
      <c r="I123"/>
    </row>
    <row r="124" spans="2:9" x14ac:dyDescent="0.25">
      <c r="B124" s="64" t="s">
        <v>371</v>
      </c>
      <c r="C124" s="66"/>
      <c r="D124" s="65"/>
      <c r="E124" s="65"/>
      <c r="F124" s="65"/>
      <c r="G124" s="65"/>
      <c r="H124" s="65"/>
      <c r="I124" s="65"/>
    </row>
    <row r="125" spans="2:9" x14ac:dyDescent="0.25">
      <c r="D125" s="82"/>
      <c r="E125"/>
      <c r="F125" s="82"/>
      <c r="G125"/>
      <c r="H125" s="82"/>
      <c r="I125"/>
    </row>
    <row r="126" spans="2:9" x14ac:dyDescent="0.25">
      <c r="B126" s="59" t="s">
        <v>378</v>
      </c>
      <c r="C126" s="58"/>
      <c r="H126" s="70"/>
      <c r="I126" s="100"/>
    </row>
    <row r="127" spans="2:9" hidden="1" outlineLevel="1" x14ac:dyDescent="0.25">
      <c r="B127" s="58"/>
      <c r="C127" s="58" t="s">
        <v>379</v>
      </c>
      <c r="D127" s="83" t="s">
        <v>380</v>
      </c>
      <c r="E127" s="47">
        <v>4850</v>
      </c>
      <c r="F127" s="92" t="s">
        <v>381</v>
      </c>
      <c r="G127" s="49">
        <v>3035</v>
      </c>
      <c r="H127" s="70" t="s">
        <v>432</v>
      </c>
      <c r="I127" s="70">
        <v>1500</v>
      </c>
    </row>
    <row r="128" spans="2:9" hidden="1" outlineLevel="1" x14ac:dyDescent="0.25">
      <c r="B128" s="58"/>
      <c r="C128" s="58" t="s">
        <v>387</v>
      </c>
      <c r="D128" s="83" t="s">
        <v>385</v>
      </c>
      <c r="E128" s="47">
        <v>2300</v>
      </c>
      <c r="F128" s="92" t="s">
        <v>384</v>
      </c>
      <c r="G128" s="49">
        <v>1500</v>
      </c>
      <c r="H128" s="70" t="s">
        <v>433</v>
      </c>
      <c r="I128" s="70">
        <v>1300</v>
      </c>
    </row>
    <row r="129" spans="2:9" hidden="1" outlineLevel="1" x14ac:dyDescent="0.25">
      <c r="B129" s="58"/>
      <c r="C129" s="58" t="s">
        <v>386</v>
      </c>
      <c r="E129" s="47">
        <v>250</v>
      </c>
      <c r="G129" s="49">
        <v>200</v>
      </c>
      <c r="H129" s="70"/>
      <c r="I129" s="70">
        <v>200</v>
      </c>
    </row>
    <row r="130" spans="2:9" collapsed="1" x14ac:dyDescent="0.25">
      <c r="B130" s="74"/>
      <c r="C130" s="74"/>
      <c r="D130" s="85"/>
      <c r="E130" s="75">
        <f>(1+$D$448+$D$449)*SUM(E127:E129)</f>
        <v>8214</v>
      </c>
      <c r="F130" s="94"/>
      <c r="G130" s="76">
        <f>(1+$D$448+$D$449)*SUM(G127:G129)</f>
        <v>5255.85</v>
      </c>
      <c r="H130" s="97"/>
      <c r="I130" s="77">
        <f>(1+$D$448+$D$449)*SUM(I127:I129)</f>
        <v>3330.0000000000005</v>
      </c>
    </row>
    <row r="131" spans="2:9" x14ac:dyDescent="0.25">
      <c r="D131" s="82"/>
      <c r="E131"/>
      <c r="F131" s="82"/>
      <c r="G131"/>
      <c r="H131" s="82"/>
      <c r="I131"/>
    </row>
    <row r="132" spans="2:9" x14ac:dyDescent="0.25">
      <c r="B132" s="59" t="s">
        <v>260</v>
      </c>
      <c r="C132" s="58"/>
      <c r="H132" s="70"/>
      <c r="I132" s="70"/>
    </row>
    <row r="133" spans="2:9" hidden="1" outlineLevel="1" x14ac:dyDescent="0.25">
      <c r="B133" s="58"/>
      <c r="C133" s="58" t="s">
        <v>426</v>
      </c>
      <c r="E133" s="47">
        <v>40</v>
      </c>
      <c r="G133" s="49">
        <v>25</v>
      </c>
      <c r="H133" s="70"/>
      <c r="I133" s="70">
        <v>25</v>
      </c>
    </row>
    <row r="134" spans="2:9" hidden="1" outlineLevel="1" x14ac:dyDescent="0.25">
      <c r="B134" s="58"/>
      <c r="C134" s="58" t="s">
        <v>382</v>
      </c>
      <c r="E134" s="47">
        <v>70</v>
      </c>
      <c r="G134" s="49">
        <v>50</v>
      </c>
      <c r="H134" s="70"/>
      <c r="I134" s="70">
        <v>50</v>
      </c>
    </row>
    <row r="135" spans="2:9" hidden="1" outlineLevel="1" x14ac:dyDescent="0.25">
      <c r="B135" s="58"/>
      <c r="C135" s="58" t="s">
        <v>273</v>
      </c>
      <c r="E135" s="47">
        <v>50</v>
      </c>
      <c r="G135" s="49">
        <v>50</v>
      </c>
      <c r="H135" s="70"/>
      <c r="I135" s="70">
        <v>50</v>
      </c>
    </row>
    <row r="136" spans="2:9" hidden="1" outlineLevel="1" x14ac:dyDescent="0.25">
      <c r="B136" s="58"/>
      <c r="C136" s="58" t="s">
        <v>261</v>
      </c>
      <c r="E136" s="47">
        <v>60</v>
      </c>
      <c r="G136" s="49">
        <v>60</v>
      </c>
      <c r="H136" s="70"/>
      <c r="I136" s="70">
        <v>60</v>
      </c>
    </row>
    <row r="137" spans="2:9" hidden="1" outlineLevel="1" x14ac:dyDescent="0.25">
      <c r="B137" s="58"/>
      <c r="C137" s="58" t="s">
        <v>390</v>
      </c>
      <c r="E137" s="47">
        <v>50</v>
      </c>
      <c r="G137" s="49">
        <v>30</v>
      </c>
      <c r="H137" s="70"/>
      <c r="I137" s="70">
        <v>30</v>
      </c>
    </row>
    <row r="138" spans="2:9" hidden="1" outlineLevel="1" x14ac:dyDescent="0.25">
      <c r="B138" s="58"/>
      <c r="C138" s="58" t="s">
        <v>391</v>
      </c>
      <c r="E138" s="47">
        <v>300</v>
      </c>
      <c r="G138" s="49">
        <v>200</v>
      </c>
      <c r="H138" s="70"/>
      <c r="I138" s="70">
        <v>200</v>
      </c>
    </row>
    <row r="139" spans="2:9" hidden="1" outlineLevel="1" x14ac:dyDescent="0.25">
      <c r="B139" s="58"/>
      <c r="C139" s="58" t="s">
        <v>394</v>
      </c>
      <c r="E139" s="47">
        <v>60</v>
      </c>
      <c r="G139" s="49">
        <v>40</v>
      </c>
      <c r="H139" s="70"/>
      <c r="I139" s="70">
        <v>40</v>
      </c>
    </row>
    <row r="140" spans="2:9" hidden="1" outlineLevel="1" x14ac:dyDescent="0.25">
      <c r="B140" s="58"/>
      <c r="C140" s="58" t="s">
        <v>262</v>
      </c>
      <c r="E140" s="47">
        <v>100</v>
      </c>
      <c r="G140" s="49">
        <v>100</v>
      </c>
      <c r="H140" s="70"/>
      <c r="I140" s="70">
        <v>0</v>
      </c>
    </row>
    <row r="141" spans="2:9" collapsed="1" x14ac:dyDescent="0.25">
      <c r="B141" s="74"/>
      <c r="C141" s="74"/>
      <c r="D141" s="85"/>
      <c r="E141" s="75">
        <f>(1+$D$448+$D$449)*SUM(E133:E140)</f>
        <v>810.30000000000007</v>
      </c>
      <c r="F141" s="94"/>
      <c r="G141" s="76">
        <f>(1+$D$448+$D$449)*SUM(G133:G140)</f>
        <v>616.05000000000007</v>
      </c>
      <c r="H141" s="97"/>
      <c r="I141" s="77">
        <f>(1+$D$448+$D$449)*SUM(I133:I140)</f>
        <v>505.05000000000007</v>
      </c>
    </row>
    <row r="142" spans="2:9" x14ac:dyDescent="0.25">
      <c r="B142"/>
      <c r="D142" s="82"/>
      <c r="E142"/>
      <c r="F142" s="82"/>
      <c r="G142"/>
      <c r="H142" s="82"/>
      <c r="I142"/>
    </row>
    <row r="143" spans="2:9" x14ac:dyDescent="0.25">
      <c r="B143" s="64" t="s">
        <v>367</v>
      </c>
      <c r="C143" s="66"/>
      <c r="D143" s="65"/>
      <c r="E143" s="65"/>
      <c r="F143" s="65"/>
      <c r="G143" s="65"/>
      <c r="H143" s="65"/>
      <c r="I143" s="65"/>
    </row>
    <row r="144" spans="2:9" x14ac:dyDescent="0.25">
      <c r="D144" s="82"/>
      <c r="E144"/>
      <c r="F144" s="82"/>
      <c r="G144"/>
      <c r="H144" s="82"/>
      <c r="I144"/>
    </row>
    <row r="145" spans="2:9" x14ac:dyDescent="0.25">
      <c r="B145" s="59" t="s">
        <v>306</v>
      </c>
      <c r="C145" s="58"/>
      <c r="H145" s="70"/>
      <c r="I145" s="70"/>
    </row>
    <row r="146" spans="2:9" hidden="1" outlineLevel="1" x14ac:dyDescent="0.25">
      <c r="B146" s="58"/>
      <c r="C146" s="58" t="s">
        <v>112</v>
      </c>
      <c r="E146" s="47">
        <v>1400</v>
      </c>
      <c r="G146" s="49">
        <v>1400</v>
      </c>
      <c r="H146" s="70"/>
      <c r="I146" s="70">
        <v>1400</v>
      </c>
    </row>
    <row r="147" spans="2:9" hidden="1" outlineLevel="1" x14ac:dyDescent="0.25">
      <c r="B147" s="58"/>
      <c r="C147" s="58" t="s">
        <v>113</v>
      </c>
      <c r="E147" s="47">
        <v>350</v>
      </c>
      <c r="G147" s="49">
        <v>350</v>
      </c>
      <c r="H147" s="70"/>
      <c r="I147" s="70">
        <v>350</v>
      </c>
    </row>
    <row r="148" spans="2:9" hidden="1" outlineLevel="1" x14ac:dyDescent="0.25">
      <c r="B148" s="58"/>
      <c r="C148" s="58" t="s">
        <v>114</v>
      </c>
      <c r="E148" s="47">
        <v>150</v>
      </c>
      <c r="G148" s="49">
        <v>100</v>
      </c>
      <c r="H148" s="70"/>
      <c r="I148" s="70">
        <v>100</v>
      </c>
    </row>
    <row r="149" spans="2:9" collapsed="1" x14ac:dyDescent="0.25">
      <c r="B149" s="74"/>
      <c r="C149" s="74"/>
      <c r="D149" s="85"/>
      <c r="E149" s="75">
        <f>(1+$D$448+$D$449)*SUM(E146:E148)</f>
        <v>2109</v>
      </c>
      <c r="F149" s="94"/>
      <c r="G149" s="76">
        <f>(1+$D$448+$D$449)*SUM(G146:G148)</f>
        <v>2053.5</v>
      </c>
      <c r="H149" s="97"/>
      <c r="I149" s="77">
        <f>(1+$D$448+$D$449)*SUM(I146:I148)</f>
        <v>2053.5</v>
      </c>
    </row>
    <row r="150" spans="2:9" x14ac:dyDescent="0.25">
      <c r="B150"/>
      <c r="D150" s="82"/>
      <c r="E150"/>
      <c r="F150" s="82"/>
      <c r="G150"/>
      <c r="H150" s="82"/>
      <c r="I150"/>
    </row>
    <row r="151" spans="2:9" x14ac:dyDescent="0.25">
      <c r="B151" s="64" t="s">
        <v>368</v>
      </c>
      <c r="C151" s="66"/>
      <c r="D151" s="65"/>
      <c r="E151" s="65"/>
      <c r="F151" s="65"/>
      <c r="G151" s="65"/>
      <c r="H151" s="65"/>
      <c r="I151" s="65"/>
    </row>
    <row r="152" spans="2:9" x14ac:dyDescent="0.25">
      <c r="D152" s="82"/>
      <c r="E152"/>
      <c r="F152" s="82"/>
      <c r="G152"/>
      <c r="H152" s="82"/>
      <c r="I152"/>
    </row>
    <row r="153" spans="2:9" x14ac:dyDescent="0.25">
      <c r="B153" s="59" t="s">
        <v>307</v>
      </c>
      <c r="C153" s="58"/>
      <c r="H153" s="70"/>
      <c r="I153" s="70"/>
    </row>
    <row r="154" spans="2:9" hidden="1" outlineLevel="1" x14ac:dyDescent="0.25">
      <c r="B154" s="58"/>
      <c r="C154" s="58" t="s">
        <v>308</v>
      </c>
      <c r="D154" s="83" t="s">
        <v>310</v>
      </c>
      <c r="E154" s="47">
        <v>1300</v>
      </c>
      <c r="F154" s="92" t="s">
        <v>311</v>
      </c>
      <c r="G154" s="49">
        <v>900</v>
      </c>
      <c r="H154" s="70" t="s">
        <v>311</v>
      </c>
      <c r="I154" s="70">
        <v>900</v>
      </c>
    </row>
    <row r="155" spans="2:9" hidden="1" outlineLevel="1" x14ac:dyDescent="0.25">
      <c r="B155" s="58"/>
      <c r="C155" s="58" t="s">
        <v>320</v>
      </c>
      <c r="D155" s="83" t="s">
        <v>321</v>
      </c>
      <c r="E155" s="47">
        <v>630</v>
      </c>
      <c r="F155" s="92" t="s">
        <v>309</v>
      </c>
      <c r="G155" s="49">
        <v>400</v>
      </c>
      <c r="H155" s="70" t="s">
        <v>309</v>
      </c>
      <c r="I155" s="70">
        <v>0</v>
      </c>
    </row>
    <row r="156" spans="2:9" hidden="1" outlineLevel="1" x14ac:dyDescent="0.25">
      <c r="B156" s="58"/>
      <c r="C156" s="58" t="s">
        <v>331</v>
      </c>
      <c r="E156" s="47">
        <v>200</v>
      </c>
      <c r="G156" s="49">
        <v>100</v>
      </c>
      <c r="H156" s="70"/>
      <c r="I156" s="70">
        <v>100</v>
      </c>
    </row>
    <row r="157" spans="2:9" hidden="1" outlineLevel="1" x14ac:dyDescent="0.25">
      <c r="B157" s="58"/>
      <c r="C157" s="58" t="s">
        <v>624</v>
      </c>
      <c r="E157" s="47">
        <v>250</v>
      </c>
      <c r="G157" s="49">
        <v>250</v>
      </c>
      <c r="H157" s="70"/>
      <c r="I157" s="70">
        <v>0</v>
      </c>
    </row>
    <row r="158" spans="2:9" collapsed="1" x14ac:dyDescent="0.25">
      <c r="B158" s="74"/>
      <c r="C158" s="74"/>
      <c r="D158" s="85"/>
      <c r="E158" s="75">
        <f>(1+$D$448+$D$449)*SUM(E154:E157)</f>
        <v>2641.8</v>
      </c>
      <c r="F158" s="94"/>
      <c r="G158" s="76">
        <f>(1+$D$448+$D$449)*SUM(G154:G157)</f>
        <v>1831.5000000000002</v>
      </c>
      <c r="H158" s="97"/>
      <c r="I158" s="77">
        <f>(1+$D$448+$D$449)*SUM(I154:I157)</f>
        <v>1110</v>
      </c>
    </row>
    <row r="159" spans="2:9" x14ac:dyDescent="0.25">
      <c r="D159" s="82"/>
      <c r="E159"/>
      <c r="F159" s="82"/>
      <c r="G159"/>
      <c r="H159" s="82"/>
      <c r="I159"/>
    </row>
    <row r="160" spans="2:9" x14ac:dyDescent="0.25">
      <c r="B160" s="59" t="s">
        <v>594</v>
      </c>
      <c r="C160" s="58"/>
      <c r="H160" s="70"/>
      <c r="I160" s="70"/>
    </row>
    <row r="161" spans="2:9" hidden="1" outlineLevel="1" x14ac:dyDescent="0.25">
      <c r="B161" s="58"/>
      <c r="C161" s="58" t="s">
        <v>119</v>
      </c>
      <c r="D161" s="83" t="s">
        <v>373</v>
      </c>
      <c r="E161" s="47">
        <v>2800</v>
      </c>
      <c r="F161" s="92" t="s">
        <v>374</v>
      </c>
      <c r="G161" s="49">
        <v>2000</v>
      </c>
      <c r="H161" s="70" t="s">
        <v>374</v>
      </c>
      <c r="I161" s="70">
        <v>2000</v>
      </c>
    </row>
    <row r="162" spans="2:9" hidden="1" outlineLevel="1" x14ac:dyDescent="0.25">
      <c r="B162" s="58"/>
      <c r="C162" s="58" t="s">
        <v>110</v>
      </c>
      <c r="E162" s="47">
        <v>300</v>
      </c>
      <c r="G162" s="49">
        <v>200</v>
      </c>
      <c r="H162" s="70"/>
      <c r="I162" s="70">
        <v>200</v>
      </c>
    </row>
    <row r="163" spans="2:9" hidden="1" outlineLevel="1" x14ac:dyDescent="0.25">
      <c r="B163" s="58"/>
      <c r="C163" s="58" t="s">
        <v>111</v>
      </c>
      <c r="E163" s="47">
        <v>200</v>
      </c>
      <c r="G163" s="49">
        <v>100</v>
      </c>
      <c r="H163" s="70"/>
      <c r="I163" s="70">
        <v>100</v>
      </c>
    </row>
    <row r="164" spans="2:9" hidden="1" outlineLevel="1" x14ac:dyDescent="0.25">
      <c r="B164" s="58"/>
      <c r="C164" s="58" t="s">
        <v>618</v>
      </c>
      <c r="D164" s="83" t="s">
        <v>625</v>
      </c>
      <c r="E164" s="47">
        <v>150</v>
      </c>
      <c r="F164" s="92" t="s">
        <v>625</v>
      </c>
      <c r="G164" s="49">
        <v>150</v>
      </c>
      <c r="H164" s="70"/>
      <c r="I164" s="70">
        <v>0</v>
      </c>
    </row>
    <row r="165" spans="2:9" hidden="1" outlineLevel="1" x14ac:dyDescent="0.25">
      <c r="B165" s="58"/>
      <c r="C165" s="58" t="s">
        <v>619</v>
      </c>
      <c r="D165" s="83" t="s">
        <v>623</v>
      </c>
      <c r="E165" s="47">
        <v>0</v>
      </c>
      <c r="F165" s="92" t="s">
        <v>623</v>
      </c>
      <c r="G165" s="49">
        <v>0</v>
      </c>
      <c r="H165" s="70" t="s">
        <v>620</v>
      </c>
      <c r="I165" s="70">
        <v>120</v>
      </c>
    </row>
    <row r="166" spans="2:9" collapsed="1" x14ac:dyDescent="0.25">
      <c r="B166" s="74"/>
      <c r="C166" s="74"/>
      <c r="D166" s="85"/>
      <c r="E166" s="75">
        <f>(1+$D$448+$D$449)*SUM(E161:E165)</f>
        <v>3829.5000000000005</v>
      </c>
      <c r="F166" s="94"/>
      <c r="G166" s="76">
        <f>(1+$D$448+$D$449)*SUM(G161:G165)</f>
        <v>2719.5000000000005</v>
      </c>
      <c r="H166" s="97"/>
      <c r="I166" s="77">
        <f>(1+$D$448+$D$449)*SUM(I161:I165)</f>
        <v>2686.2000000000003</v>
      </c>
    </row>
    <row r="167" spans="2:9" x14ac:dyDescent="0.25">
      <c r="D167" s="82"/>
      <c r="E167"/>
      <c r="F167" s="82"/>
      <c r="G167"/>
      <c r="H167" s="82"/>
      <c r="I167"/>
    </row>
    <row r="168" spans="2:9" x14ac:dyDescent="0.25">
      <c r="B168" s="59" t="s">
        <v>595</v>
      </c>
      <c r="C168" s="58"/>
      <c r="H168" s="70"/>
      <c r="I168" s="70"/>
    </row>
    <row r="169" spans="2:9" hidden="1" outlineLevel="1" x14ac:dyDescent="0.25">
      <c r="B169" s="58"/>
      <c r="C169" s="58" t="s">
        <v>329</v>
      </c>
      <c r="E169" s="47">
        <v>400</v>
      </c>
      <c r="G169" s="49">
        <v>300</v>
      </c>
      <c r="H169" s="70"/>
      <c r="I169" s="70">
        <v>300</v>
      </c>
    </row>
    <row r="170" spans="2:9" hidden="1" outlineLevel="1" x14ac:dyDescent="0.25">
      <c r="B170" s="58"/>
      <c r="C170" s="58" t="s">
        <v>330</v>
      </c>
      <c r="E170" s="47">
        <v>120</v>
      </c>
      <c r="G170" s="49">
        <v>120</v>
      </c>
      <c r="H170" s="70"/>
      <c r="I170" s="70">
        <v>120</v>
      </c>
    </row>
    <row r="171" spans="2:9" hidden="1" outlineLevel="1" x14ac:dyDescent="0.25">
      <c r="B171" s="58"/>
      <c r="C171" s="58" t="s">
        <v>331</v>
      </c>
      <c r="E171" s="47">
        <v>300</v>
      </c>
      <c r="G171" s="49">
        <v>200</v>
      </c>
      <c r="H171" s="70"/>
      <c r="I171" s="70">
        <v>200</v>
      </c>
    </row>
    <row r="172" spans="2:9" collapsed="1" x14ac:dyDescent="0.25">
      <c r="B172" s="74"/>
      <c r="C172" s="74"/>
      <c r="D172" s="85"/>
      <c r="E172" s="75">
        <f>(1+$D$448+$D$449)*SUM(E169:E171)</f>
        <v>910.2</v>
      </c>
      <c r="F172" s="94"/>
      <c r="G172" s="76">
        <f>(1+$D$448+$D$449)*SUM(G169:G171)</f>
        <v>688.2</v>
      </c>
      <c r="H172" s="97"/>
      <c r="I172" s="77">
        <f>(1+$D$448+$D$449)*SUM(I169:I171)</f>
        <v>688.2</v>
      </c>
    </row>
    <row r="173" spans="2:9" x14ac:dyDescent="0.25">
      <c r="D173" s="82"/>
      <c r="E173"/>
      <c r="F173" s="82"/>
      <c r="G173"/>
      <c r="H173" s="82"/>
      <c r="I173"/>
    </row>
    <row r="174" spans="2:9" x14ac:dyDescent="0.25">
      <c r="B174" s="64" t="s">
        <v>369</v>
      </c>
      <c r="C174" s="66"/>
      <c r="D174" s="65"/>
      <c r="E174" s="65"/>
      <c r="F174" s="65"/>
      <c r="G174" s="65"/>
      <c r="H174" s="65"/>
      <c r="I174" s="65"/>
    </row>
    <row r="175" spans="2:9" x14ac:dyDescent="0.25">
      <c r="D175" s="82"/>
      <c r="E175"/>
      <c r="F175" s="82"/>
      <c r="G175"/>
      <c r="H175" s="82"/>
      <c r="I175"/>
    </row>
    <row r="176" spans="2:9" x14ac:dyDescent="0.25">
      <c r="B176" s="59" t="s">
        <v>124</v>
      </c>
      <c r="C176" s="58"/>
      <c r="H176" s="70"/>
      <c r="I176" s="70"/>
    </row>
    <row r="177" spans="2:11" hidden="1" outlineLevel="1" x14ac:dyDescent="0.25">
      <c r="B177" s="58"/>
      <c r="C177" s="58" t="s">
        <v>122</v>
      </c>
      <c r="E177" s="47">
        <v>130</v>
      </c>
      <c r="G177" s="49">
        <v>60</v>
      </c>
      <c r="H177" s="70"/>
      <c r="I177" s="70">
        <v>60</v>
      </c>
    </row>
    <row r="178" spans="2:11" hidden="1" outlineLevel="1" x14ac:dyDescent="0.25">
      <c r="B178" s="58"/>
      <c r="C178" s="58" t="s">
        <v>123</v>
      </c>
      <c r="E178" s="47">
        <v>140</v>
      </c>
      <c r="G178" s="49">
        <v>60</v>
      </c>
      <c r="H178" s="70"/>
      <c r="I178" s="70">
        <v>0</v>
      </c>
    </row>
    <row r="179" spans="2:11" hidden="1" outlineLevel="1" x14ac:dyDescent="0.25">
      <c r="B179" s="58"/>
      <c r="C179" s="58" t="s">
        <v>126</v>
      </c>
      <c r="E179" s="47">
        <v>140</v>
      </c>
      <c r="G179" s="49">
        <v>80</v>
      </c>
      <c r="H179" s="70"/>
      <c r="I179" s="70">
        <v>80</v>
      </c>
      <c r="K179" s="46"/>
    </row>
    <row r="180" spans="2:11" hidden="1" outlineLevel="1" x14ac:dyDescent="0.25">
      <c r="B180" s="58"/>
      <c r="C180" s="58" t="s">
        <v>127</v>
      </c>
      <c r="E180" s="47">
        <v>100</v>
      </c>
      <c r="G180" s="49">
        <v>70</v>
      </c>
      <c r="H180" s="70"/>
      <c r="I180" s="70">
        <v>70</v>
      </c>
      <c r="K180" s="46"/>
    </row>
    <row r="181" spans="2:11" hidden="1" outlineLevel="1" x14ac:dyDescent="0.25">
      <c r="B181" s="58"/>
      <c r="C181" s="58" t="s">
        <v>133</v>
      </c>
      <c r="E181" s="47">
        <v>150</v>
      </c>
      <c r="G181" s="49">
        <v>85</v>
      </c>
      <c r="H181" s="70"/>
      <c r="I181" s="70">
        <v>85</v>
      </c>
      <c r="K181" s="46"/>
    </row>
    <row r="182" spans="2:11" hidden="1" outlineLevel="1" x14ac:dyDescent="0.25">
      <c r="B182" s="58"/>
      <c r="C182" s="58" t="s">
        <v>128</v>
      </c>
      <c r="E182" s="47">
        <v>130</v>
      </c>
      <c r="G182" s="49">
        <v>60</v>
      </c>
      <c r="H182" s="70"/>
      <c r="I182" s="70">
        <v>60</v>
      </c>
      <c r="K182" s="46"/>
    </row>
    <row r="183" spans="2:11" hidden="1" outlineLevel="1" x14ac:dyDescent="0.25">
      <c r="B183" s="58"/>
      <c r="C183" s="58" t="s">
        <v>138</v>
      </c>
      <c r="E183" s="47">
        <v>55</v>
      </c>
      <c r="G183" s="49">
        <v>60</v>
      </c>
      <c r="H183" s="70"/>
      <c r="I183" s="70">
        <v>0</v>
      </c>
      <c r="K183" s="46"/>
    </row>
    <row r="184" spans="2:11" hidden="1" outlineLevel="1" x14ac:dyDescent="0.25">
      <c r="B184" s="58"/>
      <c r="C184" s="58" t="s">
        <v>152</v>
      </c>
      <c r="E184" s="47">
        <v>55</v>
      </c>
      <c r="G184" s="49">
        <v>50</v>
      </c>
      <c r="H184" s="70"/>
      <c r="I184" s="70">
        <v>50</v>
      </c>
      <c r="K184" s="46"/>
    </row>
    <row r="185" spans="2:11" hidden="1" outlineLevel="1" x14ac:dyDescent="0.25">
      <c r="B185" s="58"/>
      <c r="C185" s="58" t="s">
        <v>153</v>
      </c>
      <c r="E185" s="47">
        <v>80</v>
      </c>
      <c r="G185" s="49">
        <v>80</v>
      </c>
      <c r="H185" s="70"/>
      <c r="I185" s="70">
        <v>0</v>
      </c>
      <c r="K185" s="46"/>
    </row>
    <row r="186" spans="2:11" hidden="1" outlineLevel="1" x14ac:dyDescent="0.25">
      <c r="B186" s="58"/>
      <c r="C186" s="58" t="s">
        <v>154</v>
      </c>
      <c r="E186" s="47">
        <v>50</v>
      </c>
      <c r="G186" s="49">
        <v>30</v>
      </c>
      <c r="H186" s="70"/>
      <c r="I186" s="70">
        <v>30</v>
      </c>
      <c r="K186" s="46"/>
    </row>
    <row r="187" spans="2:11" hidden="1" outlineLevel="1" x14ac:dyDescent="0.25">
      <c r="B187" s="58"/>
      <c r="C187" s="58" t="s">
        <v>125</v>
      </c>
      <c r="E187" s="47">
        <v>150</v>
      </c>
      <c r="G187" s="49">
        <v>60</v>
      </c>
      <c r="H187" s="70"/>
      <c r="I187" s="70">
        <v>60</v>
      </c>
      <c r="K187" s="46"/>
    </row>
    <row r="188" spans="2:11" hidden="1" outlineLevel="1" x14ac:dyDescent="0.25">
      <c r="B188" s="58"/>
      <c r="C188" s="58" t="s">
        <v>129</v>
      </c>
      <c r="E188" s="47">
        <v>25</v>
      </c>
      <c r="G188" s="49">
        <v>25</v>
      </c>
      <c r="H188" s="70"/>
      <c r="I188" s="70">
        <v>25</v>
      </c>
    </row>
    <row r="189" spans="2:11" hidden="1" outlineLevel="1" x14ac:dyDescent="0.25">
      <c r="B189" s="58"/>
      <c r="C189" s="58" t="s">
        <v>200</v>
      </c>
      <c r="E189" s="47">
        <v>30</v>
      </c>
      <c r="G189" s="49">
        <v>20</v>
      </c>
      <c r="H189" s="70"/>
      <c r="I189" s="70">
        <v>20</v>
      </c>
    </row>
    <row r="190" spans="2:11" hidden="1" outlineLevel="1" x14ac:dyDescent="0.25">
      <c r="B190" s="59" t="s">
        <v>151</v>
      </c>
      <c r="C190" s="58"/>
      <c r="H190" s="70"/>
      <c r="I190" s="70"/>
      <c r="K190" s="46"/>
    </row>
    <row r="191" spans="2:11" hidden="1" outlineLevel="1" x14ac:dyDescent="0.25">
      <c r="B191" s="58"/>
      <c r="C191" s="58" t="s">
        <v>140</v>
      </c>
      <c r="E191" s="47">
        <v>67</v>
      </c>
      <c r="G191" s="49">
        <v>67</v>
      </c>
      <c r="H191" s="70"/>
      <c r="I191" s="70">
        <v>67</v>
      </c>
      <c r="K191" s="46"/>
    </row>
    <row r="192" spans="2:11" hidden="1" outlineLevel="1" x14ac:dyDescent="0.25">
      <c r="B192" s="58"/>
      <c r="C192" s="58" t="s">
        <v>141</v>
      </c>
      <c r="E192" s="47">
        <v>40</v>
      </c>
      <c r="G192" s="49">
        <v>40</v>
      </c>
      <c r="H192" s="70"/>
      <c r="I192" s="70">
        <v>0</v>
      </c>
      <c r="K192" s="46"/>
    </row>
    <row r="193" spans="2:9" hidden="1" outlineLevel="1" x14ac:dyDescent="0.25">
      <c r="B193" s="58"/>
      <c r="C193" s="58" t="s">
        <v>142</v>
      </c>
      <c r="E193" s="47">
        <v>45</v>
      </c>
      <c r="G193" s="49">
        <v>45</v>
      </c>
      <c r="H193" s="70"/>
      <c r="I193" s="70">
        <v>45</v>
      </c>
    </row>
    <row r="194" spans="2:9" hidden="1" outlineLevel="1" x14ac:dyDescent="0.25">
      <c r="B194" s="58"/>
      <c r="C194" s="58" t="s">
        <v>143</v>
      </c>
      <c r="D194" s="83" t="s">
        <v>317</v>
      </c>
      <c r="E194" s="47">
        <v>165</v>
      </c>
      <c r="F194" s="92" t="s">
        <v>316</v>
      </c>
      <c r="G194" s="49">
        <v>110</v>
      </c>
      <c r="H194" s="70" t="s">
        <v>316</v>
      </c>
      <c r="I194" s="70">
        <v>110</v>
      </c>
    </row>
    <row r="195" spans="2:9" hidden="1" outlineLevel="1" x14ac:dyDescent="0.25">
      <c r="B195" s="58"/>
      <c r="C195" s="58" t="s">
        <v>144</v>
      </c>
      <c r="E195" s="47">
        <v>85</v>
      </c>
      <c r="G195" s="49">
        <v>85</v>
      </c>
      <c r="H195" s="70"/>
      <c r="I195" s="70">
        <v>85</v>
      </c>
    </row>
    <row r="196" spans="2:9" hidden="1" outlineLevel="1" x14ac:dyDescent="0.25">
      <c r="B196" s="58"/>
      <c r="C196" s="58" t="s">
        <v>145</v>
      </c>
      <c r="E196" s="47">
        <v>30</v>
      </c>
      <c r="G196" s="49">
        <v>60</v>
      </c>
      <c r="H196" s="70"/>
      <c r="I196" s="70">
        <v>0</v>
      </c>
    </row>
    <row r="197" spans="2:9" hidden="1" outlineLevel="1" x14ac:dyDescent="0.25">
      <c r="B197" s="58"/>
      <c r="C197" s="58" t="s">
        <v>146</v>
      </c>
      <c r="D197" s="83" t="s">
        <v>318</v>
      </c>
      <c r="E197" s="47">
        <v>0</v>
      </c>
      <c r="F197" s="92" t="s">
        <v>315</v>
      </c>
      <c r="G197" s="49">
        <v>120</v>
      </c>
      <c r="H197" s="70" t="s">
        <v>315</v>
      </c>
      <c r="I197" s="70">
        <v>120</v>
      </c>
    </row>
    <row r="198" spans="2:9" hidden="1" outlineLevel="1" x14ac:dyDescent="0.25">
      <c r="B198" s="58"/>
      <c r="C198" s="58" t="s">
        <v>319</v>
      </c>
      <c r="E198" s="47">
        <v>40</v>
      </c>
      <c r="G198" s="49">
        <v>40</v>
      </c>
      <c r="H198" s="70"/>
      <c r="I198" s="70">
        <v>0</v>
      </c>
    </row>
    <row r="199" spans="2:9" hidden="1" outlineLevel="1" x14ac:dyDescent="0.25">
      <c r="B199" s="59" t="s">
        <v>223</v>
      </c>
      <c r="C199" s="58"/>
      <c r="H199" s="70"/>
      <c r="I199" s="70"/>
    </row>
    <row r="200" spans="2:9" hidden="1" outlineLevel="1" x14ac:dyDescent="0.25">
      <c r="B200" s="58"/>
      <c r="C200" s="58" t="s">
        <v>186</v>
      </c>
      <c r="E200" s="47">
        <v>100</v>
      </c>
      <c r="G200" s="49">
        <v>50</v>
      </c>
      <c r="H200" s="70"/>
      <c r="I200" s="70">
        <v>50</v>
      </c>
    </row>
    <row r="201" spans="2:9" hidden="1" outlineLevel="1" x14ac:dyDescent="0.25">
      <c r="B201" s="58"/>
      <c r="C201" s="58" t="s">
        <v>222</v>
      </c>
      <c r="E201" s="47">
        <v>30</v>
      </c>
      <c r="G201" s="49">
        <v>20</v>
      </c>
      <c r="H201" s="70"/>
      <c r="I201" s="70">
        <v>20</v>
      </c>
    </row>
    <row r="202" spans="2:9" hidden="1" outlineLevel="1" x14ac:dyDescent="0.25">
      <c r="B202" s="58"/>
      <c r="C202" s="58" t="s">
        <v>232</v>
      </c>
      <c r="E202" s="47">
        <v>20</v>
      </c>
      <c r="G202" s="49">
        <v>15</v>
      </c>
      <c r="H202" s="70"/>
      <c r="I202" s="70">
        <v>15</v>
      </c>
    </row>
    <row r="203" spans="2:9" hidden="1" outlineLevel="1" x14ac:dyDescent="0.25">
      <c r="B203" s="58"/>
      <c r="C203" s="58" t="s">
        <v>225</v>
      </c>
      <c r="E203" s="47">
        <v>40</v>
      </c>
      <c r="G203" s="49">
        <v>25</v>
      </c>
      <c r="H203" s="70"/>
      <c r="I203" s="70">
        <v>25</v>
      </c>
    </row>
    <row r="204" spans="2:9" hidden="1" outlineLevel="1" x14ac:dyDescent="0.25">
      <c r="B204" s="58"/>
      <c r="C204" s="58" t="s">
        <v>224</v>
      </c>
      <c r="E204" s="47">
        <v>50</v>
      </c>
      <c r="G204" s="49">
        <v>30</v>
      </c>
      <c r="H204" s="70"/>
      <c r="I204" s="70">
        <v>30</v>
      </c>
    </row>
    <row r="205" spans="2:9" hidden="1" outlineLevel="1" x14ac:dyDescent="0.25">
      <c r="B205" s="58"/>
      <c r="C205" s="58" t="s">
        <v>226</v>
      </c>
      <c r="E205" s="47">
        <v>30</v>
      </c>
      <c r="G205" s="49">
        <v>20</v>
      </c>
      <c r="H205" s="70"/>
      <c r="I205" s="70">
        <v>20</v>
      </c>
    </row>
    <row r="206" spans="2:9" hidden="1" outlineLevel="1" x14ac:dyDescent="0.25">
      <c r="B206" s="58"/>
      <c r="C206" s="58" t="s">
        <v>227</v>
      </c>
      <c r="E206" s="47">
        <v>30</v>
      </c>
      <c r="G206" s="49">
        <v>20</v>
      </c>
      <c r="H206" s="70"/>
      <c r="I206" s="70">
        <v>20</v>
      </c>
    </row>
    <row r="207" spans="2:9" hidden="1" outlineLevel="1" x14ac:dyDescent="0.25">
      <c r="B207" s="58"/>
      <c r="C207" s="58" t="s">
        <v>228</v>
      </c>
      <c r="E207" s="47">
        <v>20</v>
      </c>
      <c r="G207" s="49">
        <v>10</v>
      </c>
      <c r="H207" s="70"/>
      <c r="I207" s="70">
        <v>10</v>
      </c>
    </row>
    <row r="208" spans="2:9" hidden="1" outlineLevel="1" x14ac:dyDescent="0.25">
      <c r="B208" s="58"/>
      <c r="C208" s="58" t="s">
        <v>229</v>
      </c>
      <c r="E208" s="47">
        <v>30</v>
      </c>
      <c r="G208" s="49">
        <v>20</v>
      </c>
      <c r="H208" s="70"/>
      <c r="I208" s="70">
        <v>20</v>
      </c>
    </row>
    <row r="209" spans="2:9" hidden="1" outlineLevel="1" x14ac:dyDescent="0.25">
      <c r="B209" s="59" t="s">
        <v>198</v>
      </c>
      <c r="C209" s="58"/>
      <c r="H209" s="70"/>
      <c r="I209" s="70"/>
    </row>
    <row r="210" spans="2:9" hidden="1" outlineLevel="1" x14ac:dyDescent="0.25">
      <c r="B210" s="58"/>
      <c r="C210" s="58" t="s">
        <v>137</v>
      </c>
      <c r="E210" s="47">
        <v>50</v>
      </c>
      <c r="G210" s="49">
        <v>40</v>
      </c>
      <c r="H210" s="70"/>
      <c r="I210" s="70">
        <v>0</v>
      </c>
    </row>
    <row r="211" spans="2:9" hidden="1" outlineLevel="1" x14ac:dyDescent="0.25">
      <c r="B211" s="58"/>
      <c r="C211" s="58" t="s">
        <v>139</v>
      </c>
      <c r="E211" s="47">
        <v>125</v>
      </c>
      <c r="G211" s="49">
        <v>50</v>
      </c>
      <c r="H211" s="70"/>
      <c r="I211" s="70">
        <v>50</v>
      </c>
    </row>
    <row r="212" spans="2:9" hidden="1" outlineLevel="1" x14ac:dyDescent="0.25">
      <c r="B212" s="58"/>
      <c r="C212" s="58" t="s">
        <v>190</v>
      </c>
      <c r="E212" s="47">
        <v>50</v>
      </c>
      <c r="G212" s="49">
        <v>30</v>
      </c>
      <c r="H212" s="70"/>
      <c r="I212" s="70">
        <v>30</v>
      </c>
    </row>
    <row r="213" spans="2:9" hidden="1" outlineLevel="1" x14ac:dyDescent="0.25">
      <c r="B213" s="58"/>
      <c r="C213" s="58" t="s">
        <v>286</v>
      </c>
      <c r="E213" s="47">
        <v>50</v>
      </c>
      <c r="G213" s="49">
        <v>30</v>
      </c>
      <c r="H213" s="70"/>
      <c r="I213" s="70">
        <v>30</v>
      </c>
    </row>
    <row r="214" spans="2:9" collapsed="1" x14ac:dyDescent="0.25">
      <c r="B214" s="74"/>
      <c r="C214" s="74"/>
      <c r="D214" s="85" t="s">
        <v>324</v>
      </c>
      <c r="E214" s="75">
        <f>(1+$D$448+$D$449)*SUM(E177:E213)</f>
        <v>2588.5200000000004</v>
      </c>
      <c r="F214" s="94" t="s">
        <v>314</v>
      </c>
      <c r="G214" s="76">
        <f>(1+$D$448+$D$449)*SUM(G177:G213)</f>
        <v>1850.3700000000001</v>
      </c>
      <c r="H214" s="97"/>
      <c r="I214" s="77">
        <f>(1+$D$448+$D$449)*SUM(I177:I213)</f>
        <v>1428.5700000000002</v>
      </c>
    </row>
    <row r="215" spans="2:9" x14ac:dyDescent="0.25">
      <c r="D215" s="82"/>
      <c r="E215"/>
      <c r="F215" s="82"/>
      <c r="G215"/>
      <c r="H215" s="82"/>
      <c r="I215"/>
    </row>
    <row r="216" spans="2:9" x14ac:dyDescent="0.25">
      <c r="B216" s="59" t="s">
        <v>196</v>
      </c>
      <c r="C216" s="58"/>
      <c r="H216" s="70"/>
      <c r="I216" s="70"/>
    </row>
    <row r="217" spans="2:9" hidden="1" outlineLevel="1" x14ac:dyDescent="0.25">
      <c r="B217" s="58"/>
      <c r="C217" s="58" t="s">
        <v>240</v>
      </c>
      <c r="E217" s="47">
        <v>80</v>
      </c>
      <c r="G217" s="49">
        <v>60</v>
      </c>
      <c r="H217" s="70"/>
      <c r="I217" s="70">
        <v>60</v>
      </c>
    </row>
    <row r="218" spans="2:9" hidden="1" outlineLevel="1" x14ac:dyDescent="0.25">
      <c r="B218" s="58"/>
      <c r="C218" s="58" t="s">
        <v>241</v>
      </c>
      <c r="E218" s="47">
        <v>200</v>
      </c>
      <c r="G218" s="49">
        <v>100</v>
      </c>
      <c r="H218" s="70"/>
      <c r="I218" s="70">
        <v>100</v>
      </c>
    </row>
    <row r="219" spans="2:9" hidden="1" outlineLevel="1" x14ac:dyDescent="0.25">
      <c r="B219" s="58"/>
      <c r="C219" s="58" t="s">
        <v>244</v>
      </c>
      <c r="E219" s="47">
        <v>25</v>
      </c>
      <c r="G219" s="49">
        <v>25</v>
      </c>
      <c r="H219" s="70"/>
      <c r="I219" s="70">
        <v>25</v>
      </c>
    </row>
    <row r="220" spans="2:9" hidden="1" outlineLevel="1" x14ac:dyDescent="0.25">
      <c r="B220" s="58"/>
      <c r="C220" s="58" t="s">
        <v>201</v>
      </c>
      <c r="E220" s="47">
        <v>50</v>
      </c>
      <c r="G220" s="49">
        <v>30</v>
      </c>
      <c r="H220" s="70"/>
      <c r="I220" s="70">
        <v>30</v>
      </c>
    </row>
    <row r="221" spans="2:9" hidden="1" outlineLevel="1" x14ac:dyDescent="0.25">
      <c r="B221" s="58"/>
      <c r="C221" s="58" t="s">
        <v>246</v>
      </c>
      <c r="E221" s="47">
        <v>10</v>
      </c>
      <c r="G221" s="49">
        <v>10</v>
      </c>
      <c r="H221" s="70"/>
      <c r="I221" s="70">
        <v>10</v>
      </c>
    </row>
    <row r="222" spans="2:9" hidden="1" outlineLevel="1" x14ac:dyDescent="0.25">
      <c r="B222" s="58"/>
      <c r="C222" s="58" t="s">
        <v>245</v>
      </c>
      <c r="E222" s="47">
        <v>30</v>
      </c>
      <c r="G222" s="49">
        <v>20</v>
      </c>
      <c r="H222" s="70"/>
      <c r="I222" s="70">
        <v>20</v>
      </c>
    </row>
    <row r="223" spans="2:9" hidden="1" outlineLevel="1" x14ac:dyDescent="0.25">
      <c r="B223" s="58"/>
      <c r="C223" s="58" t="s">
        <v>243</v>
      </c>
      <c r="E223" s="47">
        <v>80</v>
      </c>
      <c r="G223" s="49">
        <v>50</v>
      </c>
      <c r="H223" s="70"/>
      <c r="I223" s="70">
        <v>50</v>
      </c>
    </row>
    <row r="224" spans="2:9" hidden="1" outlineLevel="1" x14ac:dyDescent="0.25">
      <c r="B224" s="58"/>
      <c r="C224" s="58" t="s">
        <v>247</v>
      </c>
      <c r="E224" s="47">
        <v>50</v>
      </c>
      <c r="G224" s="49">
        <v>25</v>
      </c>
      <c r="H224" s="70"/>
      <c r="I224" s="70">
        <v>25</v>
      </c>
    </row>
    <row r="225" spans="2:9" hidden="1" outlineLevel="1" x14ac:dyDescent="0.25">
      <c r="B225" s="58"/>
      <c r="C225" s="58" t="s">
        <v>248</v>
      </c>
      <c r="E225" s="47">
        <v>40</v>
      </c>
      <c r="G225" s="49">
        <v>30</v>
      </c>
      <c r="H225" s="70"/>
      <c r="I225" s="70">
        <v>30</v>
      </c>
    </row>
    <row r="226" spans="2:9" hidden="1" outlineLevel="1" x14ac:dyDescent="0.25">
      <c r="B226" s="58"/>
      <c r="C226" s="58" t="s">
        <v>203</v>
      </c>
      <c r="E226" s="47">
        <v>120</v>
      </c>
      <c r="G226" s="49">
        <v>30</v>
      </c>
      <c r="H226" s="70"/>
      <c r="I226" s="70">
        <v>30</v>
      </c>
    </row>
    <row r="227" spans="2:9" hidden="1" outlineLevel="1" x14ac:dyDescent="0.25">
      <c r="B227" s="58"/>
      <c r="C227" s="58" t="s">
        <v>242</v>
      </c>
      <c r="E227" s="47">
        <v>20</v>
      </c>
      <c r="G227" s="49">
        <v>20</v>
      </c>
      <c r="H227" s="70"/>
      <c r="I227" s="70">
        <v>20</v>
      </c>
    </row>
    <row r="228" spans="2:9" hidden="1" outlineLevel="1" x14ac:dyDescent="0.25">
      <c r="B228" s="58"/>
      <c r="C228" s="58" t="s">
        <v>216</v>
      </c>
      <c r="E228" s="47">
        <v>15</v>
      </c>
      <c r="G228" s="49">
        <v>15</v>
      </c>
      <c r="H228" s="70"/>
      <c r="I228" s="70">
        <v>15</v>
      </c>
    </row>
    <row r="229" spans="2:9" hidden="1" outlineLevel="1" x14ac:dyDescent="0.25">
      <c r="B229" s="58"/>
      <c r="C229" s="58" t="s">
        <v>249</v>
      </c>
      <c r="E229" s="47">
        <v>40</v>
      </c>
      <c r="G229" s="49">
        <v>30</v>
      </c>
      <c r="H229" s="70"/>
      <c r="I229" s="70">
        <v>30</v>
      </c>
    </row>
    <row r="230" spans="2:9" hidden="1" outlineLevel="1" x14ac:dyDescent="0.25">
      <c r="B230" s="58"/>
      <c r="C230" s="58" t="s">
        <v>205</v>
      </c>
      <c r="E230" s="47">
        <v>20</v>
      </c>
      <c r="G230" s="49">
        <v>20</v>
      </c>
      <c r="H230" s="70"/>
      <c r="I230" s="70">
        <v>20</v>
      </c>
    </row>
    <row r="231" spans="2:9" hidden="1" outlineLevel="1" x14ac:dyDescent="0.25">
      <c r="B231" s="58"/>
      <c r="C231" s="58" t="s">
        <v>206</v>
      </c>
      <c r="E231" s="47">
        <v>50</v>
      </c>
      <c r="G231" s="49">
        <v>40</v>
      </c>
      <c r="H231" s="70"/>
      <c r="I231" s="70">
        <v>40</v>
      </c>
    </row>
    <row r="232" spans="2:9" hidden="1" outlineLevel="1" x14ac:dyDescent="0.25">
      <c r="B232" s="58"/>
      <c r="C232" s="58" t="s">
        <v>182</v>
      </c>
      <c r="E232" s="47">
        <v>20</v>
      </c>
      <c r="G232" s="49">
        <v>10</v>
      </c>
      <c r="H232" s="70"/>
      <c r="I232" s="70">
        <v>10</v>
      </c>
    </row>
    <row r="233" spans="2:9" hidden="1" outlineLevel="1" x14ac:dyDescent="0.25">
      <c r="B233" s="58"/>
      <c r="C233" s="58" t="s">
        <v>209</v>
      </c>
      <c r="E233" s="47">
        <v>30</v>
      </c>
      <c r="G233" s="49">
        <v>20</v>
      </c>
      <c r="H233" s="70"/>
      <c r="I233" s="70">
        <v>20</v>
      </c>
    </row>
    <row r="234" spans="2:9" hidden="1" outlineLevel="1" x14ac:dyDescent="0.25">
      <c r="B234" s="58"/>
      <c r="C234" s="58" t="s">
        <v>251</v>
      </c>
      <c r="E234" s="47">
        <v>150</v>
      </c>
      <c r="G234" s="49">
        <v>150</v>
      </c>
      <c r="H234" s="70"/>
      <c r="I234" s="70">
        <v>0</v>
      </c>
    </row>
    <row r="235" spans="2:9" hidden="1" outlineLevel="1" x14ac:dyDescent="0.25">
      <c r="B235" s="58"/>
      <c r="C235" s="58" t="s">
        <v>252</v>
      </c>
      <c r="E235" s="47">
        <v>100</v>
      </c>
      <c r="G235" s="49">
        <v>50</v>
      </c>
      <c r="H235" s="70"/>
      <c r="I235" s="70">
        <v>50</v>
      </c>
    </row>
    <row r="236" spans="2:9" hidden="1" outlineLevel="1" x14ac:dyDescent="0.25">
      <c r="B236" s="58"/>
      <c r="C236" s="58" t="s">
        <v>210</v>
      </c>
      <c r="E236" s="47">
        <v>140</v>
      </c>
      <c r="G236" s="49">
        <v>65</v>
      </c>
      <c r="H236" s="70"/>
      <c r="I236" s="70">
        <v>65</v>
      </c>
    </row>
    <row r="237" spans="2:9" hidden="1" outlineLevel="1" x14ac:dyDescent="0.25">
      <c r="B237" s="58"/>
      <c r="C237" s="58" t="s">
        <v>175</v>
      </c>
      <c r="E237" s="47">
        <v>100</v>
      </c>
      <c r="G237" s="49">
        <v>90</v>
      </c>
      <c r="H237" s="70"/>
      <c r="I237" s="70">
        <v>90</v>
      </c>
    </row>
    <row r="238" spans="2:9" hidden="1" outlineLevel="1" x14ac:dyDescent="0.25">
      <c r="B238" s="58"/>
      <c r="C238" s="58" t="s">
        <v>197</v>
      </c>
      <c r="E238" s="47">
        <v>20</v>
      </c>
      <c r="G238" s="49">
        <v>15</v>
      </c>
      <c r="H238" s="70"/>
      <c r="I238" s="70">
        <v>15</v>
      </c>
    </row>
    <row r="239" spans="2:9" hidden="1" outlineLevel="1" x14ac:dyDescent="0.25">
      <c r="B239" s="58"/>
      <c r="C239" s="58" t="s">
        <v>179</v>
      </c>
      <c r="E239" s="47">
        <v>100</v>
      </c>
      <c r="G239" s="49">
        <v>80</v>
      </c>
      <c r="H239" s="70"/>
      <c r="I239" s="70">
        <v>80</v>
      </c>
    </row>
    <row r="240" spans="2:9" hidden="1" outlineLevel="1" x14ac:dyDescent="0.25">
      <c r="B240" s="58"/>
      <c r="C240" s="58" t="s">
        <v>172</v>
      </c>
      <c r="E240" s="47">
        <v>50</v>
      </c>
      <c r="G240" s="49">
        <v>30</v>
      </c>
      <c r="H240" s="70"/>
      <c r="I240" s="70">
        <v>30</v>
      </c>
    </row>
    <row r="241" spans="2:9" hidden="1" outlineLevel="1" x14ac:dyDescent="0.25">
      <c r="B241" s="58"/>
      <c r="C241" s="58" t="s">
        <v>187</v>
      </c>
      <c r="E241" s="47">
        <v>35</v>
      </c>
      <c r="G241" s="49">
        <v>15</v>
      </c>
      <c r="H241" s="70"/>
      <c r="I241" s="70">
        <v>15</v>
      </c>
    </row>
    <row r="242" spans="2:9" hidden="1" outlineLevel="1" x14ac:dyDescent="0.25">
      <c r="B242" s="58"/>
      <c r="C242" s="58" t="s">
        <v>217</v>
      </c>
      <c r="E242" s="47">
        <v>40</v>
      </c>
      <c r="G242" s="49">
        <v>40</v>
      </c>
      <c r="H242" s="70"/>
      <c r="I242" s="70">
        <v>0</v>
      </c>
    </row>
    <row r="243" spans="2:9" hidden="1" outlineLevel="1" x14ac:dyDescent="0.25">
      <c r="B243" s="58"/>
      <c r="C243" s="58" t="s">
        <v>233</v>
      </c>
      <c r="E243" s="47">
        <v>11</v>
      </c>
      <c r="G243" s="49">
        <v>11</v>
      </c>
      <c r="H243" s="70"/>
      <c r="I243" s="70">
        <v>11</v>
      </c>
    </row>
    <row r="244" spans="2:9" hidden="1" outlineLevel="1" x14ac:dyDescent="0.25">
      <c r="B244" s="58"/>
      <c r="C244" s="58" t="s">
        <v>234</v>
      </c>
      <c r="E244" s="47">
        <v>15</v>
      </c>
      <c r="G244" s="49">
        <v>15</v>
      </c>
      <c r="H244" s="70"/>
      <c r="I244" s="70">
        <v>15</v>
      </c>
    </row>
    <row r="245" spans="2:9" hidden="1" outlineLevel="1" x14ac:dyDescent="0.25">
      <c r="B245" s="58"/>
      <c r="C245" s="58" t="s">
        <v>199</v>
      </c>
      <c r="E245" s="47">
        <v>20</v>
      </c>
      <c r="G245" s="49">
        <v>10</v>
      </c>
      <c r="H245" s="70"/>
      <c r="I245" s="70">
        <v>10</v>
      </c>
    </row>
    <row r="246" spans="2:9" hidden="1" outlineLevel="1" x14ac:dyDescent="0.25">
      <c r="B246" s="58"/>
      <c r="C246" s="58" t="s">
        <v>257</v>
      </c>
      <c r="E246" s="47">
        <v>10</v>
      </c>
      <c r="G246" s="49">
        <v>10</v>
      </c>
      <c r="H246" s="70"/>
      <c r="I246" s="70">
        <v>10</v>
      </c>
    </row>
    <row r="247" spans="2:9" hidden="1" outlineLevel="1" x14ac:dyDescent="0.25">
      <c r="B247" s="58"/>
      <c r="C247" s="58" t="s">
        <v>275</v>
      </c>
      <c r="E247" s="47">
        <v>30</v>
      </c>
      <c r="G247" s="49">
        <v>20</v>
      </c>
      <c r="H247" s="70"/>
      <c r="I247" s="70">
        <v>20</v>
      </c>
    </row>
    <row r="248" spans="2:9" hidden="1" outlineLevel="1" x14ac:dyDescent="0.25">
      <c r="B248" s="58"/>
      <c r="C248" s="58" t="s">
        <v>291</v>
      </c>
      <c r="E248" s="47">
        <v>30</v>
      </c>
      <c r="G248" s="49">
        <v>20</v>
      </c>
      <c r="H248" s="70"/>
      <c r="I248" s="70">
        <v>20</v>
      </c>
    </row>
    <row r="249" spans="2:9" hidden="1" outlineLevel="1" x14ac:dyDescent="0.25">
      <c r="B249" s="58"/>
      <c r="C249" s="58" t="s">
        <v>211</v>
      </c>
      <c r="E249" s="47">
        <v>200</v>
      </c>
      <c r="G249" s="49">
        <v>30</v>
      </c>
      <c r="H249" s="70"/>
      <c r="I249" s="70">
        <v>30</v>
      </c>
    </row>
    <row r="250" spans="2:9" hidden="1" outlineLevel="1" x14ac:dyDescent="0.25">
      <c r="B250" s="59" t="s">
        <v>285</v>
      </c>
      <c r="C250" s="58"/>
      <c r="H250" s="70"/>
      <c r="I250" s="70"/>
    </row>
    <row r="251" spans="2:9" hidden="1" outlineLevel="1" x14ac:dyDescent="0.25">
      <c r="B251" s="58"/>
      <c r="C251" s="58" t="s">
        <v>131</v>
      </c>
      <c r="E251" s="47">
        <v>70</v>
      </c>
      <c r="G251" s="49">
        <v>30</v>
      </c>
      <c r="H251" s="70"/>
      <c r="I251" s="70">
        <v>30</v>
      </c>
    </row>
    <row r="252" spans="2:9" hidden="1" outlineLevel="1" x14ac:dyDescent="0.25">
      <c r="B252" s="58"/>
      <c r="C252" s="58" t="s">
        <v>130</v>
      </c>
      <c r="E252" s="47">
        <v>50</v>
      </c>
      <c r="G252" s="49">
        <v>30</v>
      </c>
      <c r="H252" s="70"/>
      <c r="I252" s="70">
        <v>30</v>
      </c>
    </row>
    <row r="253" spans="2:9" hidden="1" outlineLevel="1" x14ac:dyDescent="0.25">
      <c r="B253" s="58"/>
      <c r="C253" s="58" t="s">
        <v>132</v>
      </c>
      <c r="E253" s="47">
        <v>30</v>
      </c>
      <c r="G253" s="49">
        <v>20</v>
      </c>
      <c r="H253" s="70"/>
      <c r="I253" s="70">
        <v>20</v>
      </c>
    </row>
    <row r="254" spans="2:9" hidden="1" outlineLevel="1" x14ac:dyDescent="0.25">
      <c r="B254" s="58"/>
      <c r="C254" s="58" t="s">
        <v>221</v>
      </c>
      <c r="E254" s="47">
        <v>50</v>
      </c>
      <c r="G254" s="49">
        <v>30</v>
      </c>
      <c r="H254" s="70"/>
      <c r="I254" s="70">
        <v>30</v>
      </c>
    </row>
    <row r="255" spans="2:9" hidden="1" outlineLevel="1" x14ac:dyDescent="0.25">
      <c r="B255" s="58"/>
      <c r="C255" s="58" t="s">
        <v>204</v>
      </c>
      <c r="E255" s="47">
        <v>20</v>
      </c>
      <c r="G255" s="49">
        <v>15</v>
      </c>
      <c r="H255" s="70"/>
      <c r="I255" s="70">
        <v>15</v>
      </c>
    </row>
    <row r="256" spans="2:9" hidden="1" outlineLevel="1" x14ac:dyDescent="0.25">
      <c r="B256" s="58"/>
      <c r="C256" s="58" t="s">
        <v>173</v>
      </c>
      <c r="E256" s="47">
        <v>60</v>
      </c>
      <c r="G256" s="49">
        <v>40</v>
      </c>
      <c r="H256" s="70"/>
      <c r="I256" s="70">
        <v>40</v>
      </c>
    </row>
    <row r="257" spans="2:9" hidden="1" outlineLevel="1" x14ac:dyDescent="0.25">
      <c r="B257" s="58"/>
      <c r="C257" s="58" t="s">
        <v>231</v>
      </c>
      <c r="E257" s="47">
        <v>70</v>
      </c>
      <c r="G257" s="49">
        <v>40</v>
      </c>
      <c r="H257" s="70"/>
      <c r="I257" s="70">
        <v>40</v>
      </c>
    </row>
    <row r="258" spans="2:9" hidden="1" outlineLevel="1" x14ac:dyDescent="0.25">
      <c r="B258" s="59" t="s">
        <v>212</v>
      </c>
      <c r="C258" s="58"/>
      <c r="H258" s="70"/>
      <c r="I258" s="70"/>
    </row>
    <row r="259" spans="2:9" hidden="1" outlineLevel="1" x14ac:dyDescent="0.25">
      <c r="B259" s="58"/>
      <c r="C259" s="58" t="s">
        <v>213</v>
      </c>
      <c r="E259" s="47">
        <v>20</v>
      </c>
      <c r="G259" s="49">
        <v>15</v>
      </c>
      <c r="H259" s="70"/>
      <c r="I259" s="70">
        <v>15</v>
      </c>
    </row>
    <row r="260" spans="2:9" hidden="1" outlineLevel="1" x14ac:dyDescent="0.25">
      <c r="B260" s="58"/>
      <c r="C260" s="58" t="s">
        <v>214</v>
      </c>
      <c r="E260" s="47">
        <v>30</v>
      </c>
      <c r="G260" s="49">
        <v>20</v>
      </c>
      <c r="H260" s="70"/>
      <c r="I260" s="70">
        <v>20</v>
      </c>
    </row>
    <row r="261" spans="2:9" hidden="1" outlineLevel="1" x14ac:dyDescent="0.25">
      <c r="B261" s="58"/>
      <c r="C261" s="58" t="s">
        <v>215</v>
      </c>
      <c r="E261" s="47">
        <v>20</v>
      </c>
      <c r="G261" s="49">
        <v>15</v>
      </c>
      <c r="H261" s="70"/>
      <c r="I261" s="70">
        <v>15</v>
      </c>
    </row>
    <row r="262" spans="2:9" hidden="1" outlineLevel="1" x14ac:dyDescent="0.25">
      <c r="B262" s="58"/>
      <c r="C262" s="58" t="s">
        <v>208</v>
      </c>
      <c r="E262" s="47">
        <v>20</v>
      </c>
      <c r="G262" s="49">
        <v>12</v>
      </c>
      <c r="H262" s="70"/>
      <c r="I262" s="70">
        <v>12</v>
      </c>
    </row>
    <row r="263" spans="2:9" hidden="1" outlineLevel="1" x14ac:dyDescent="0.25">
      <c r="B263" s="58"/>
      <c r="C263" s="58" t="s">
        <v>219</v>
      </c>
      <c r="E263" s="47">
        <v>20</v>
      </c>
      <c r="G263" s="49">
        <v>10</v>
      </c>
      <c r="H263" s="70"/>
      <c r="I263" s="70">
        <v>10</v>
      </c>
    </row>
    <row r="264" spans="2:9" hidden="1" outlineLevel="1" x14ac:dyDescent="0.25">
      <c r="B264" s="58"/>
      <c r="C264" s="58" t="s">
        <v>235</v>
      </c>
      <c r="E264" s="47">
        <v>15</v>
      </c>
      <c r="G264" s="49">
        <v>15</v>
      </c>
      <c r="H264" s="70"/>
      <c r="I264" s="70">
        <v>15</v>
      </c>
    </row>
    <row r="265" spans="2:9" hidden="1" outlineLevel="1" x14ac:dyDescent="0.25">
      <c r="B265" s="58"/>
      <c r="C265" s="58" t="s">
        <v>220</v>
      </c>
      <c r="E265" s="47">
        <v>30</v>
      </c>
      <c r="G265" s="49">
        <v>20</v>
      </c>
      <c r="H265" s="70"/>
      <c r="I265" s="70">
        <v>20</v>
      </c>
    </row>
    <row r="266" spans="2:9" hidden="1" outlineLevel="1" x14ac:dyDescent="0.25">
      <c r="B266" s="58"/>
      <c r="C266" s="58" t="s">
        <v>218</v>
      </c>
      <c r="E266" s="47">
        <v>30</v>
      </c>
      <c r="G266" s="49">
        <v>10</v>
      </c>
      <c r="H266" s="70"/>
      <c r="I266" s="70">
        <v>10</v>
      </c>
    </row>
    <row r="267" spans="2:9" hidden="1" outlineLevel="1" x14ac:dyDescent="0.25">
      <c r="B267" s="58"/>
      <c r="C267" s="58" t="s">
        <v>230</v>
      </c>
      <c r="E267" s="47">
        <v>45</v>
      </c>
      <c r="G267" s="49">
        <v>20</v>
      </c>
      <c r="H267" s="70"/>
      <c r="I267" s="70">
        <v>20</v>
      </c>
    </row>
    <row r="268" spans="2:9" hidden="1" outlineLevel="1" x14ac:dyDescent="0.25">
      <c r="B268" s="58"/>
      <c r="C268" s="58" t="s">
        <v>236</v>
      </c>
      <c r="E268" s="47">
        <v>50</v>
      </c>
      <c r="G268" s="49">
        <v>30</v>
      </c>
      <c r="H268" s="70"/>
      <c r="I268" s="70">
        <v>0</v>
      </c>
    </row>
    <row r="269" spans="2:9" hidden="1" outlineLevel="1" x14ac:dyDescent="0.25">
      <c r="B269" s="59" t="s">
        <v>202</v>
      </c>
      <c r="C269" s="58"/>
      <c r="H269" s="70"/>
      <c r="I269" s="70"/>
    </row>
    <row r="270" spans="2:9" hidden="1" outlineLevel="1" x14ac:dyDescent="0.25">
      <c r="B270" s="58"/>
      <c r="C270" s="58" t="s">
        <v>237</v>
      </c>
      <c r="E270" s="47">
        <v>70</v>
      </c>
      <c r="G270" s="49">
        <v>40</v>
      </c>
      <c r="H270" s="70"/>
      <c r="I270" s="70">
        <v>40</v>
      </c>
    </row>
    <row r="271" spans="2:9" hidden="1" outlineLevel="1" x14ac:dyDescent="0.25">
      <c r="B271" s="58"/>
      <c r="C271" s="58" t="s">
        <v>207</v>
      </c>
      <c r="E271" s="47">
        <v>50</v>
      </c>
      <c r="G271" s="49">
        <v>30</v>
      </c>
      <c r="H271" s="70"/>
      <c r="I271" s="70">
        <v>30</v>
      </c>
    </row>
    <row r="272" spans="2:9" hidden="1" outlineLevel="1" x14ac:dyDescent="0.25">
      <c r="B272" s="58"/>
      <c r="C272" s="58" t="s">
        <v>188</v>
      </c>
      <c r="E272" s="47">
        <v>30</v>
      </c>
      <c r="G272" s="49">
        <v>20</v>
      </c>
      <c r="H272" s="70"/>
      <c r="I272" s="70">
        <v>20</v>
      </c>
    </row>
    <row r="273" spans="2:9" hidden="1" outlineLevel="1" x14ac:dyDescent="0.25">
      <c r="B273" s="58"/>
      <c r="C273" s="58" t="s">
        <v>238</v>
      </c>
      <c r="E273" s="47">
        <v>50</v>
      </c>
      <c r="G273" s="49">
        <v>30</v>
      </c>
      <c r="H273" s="70"/>
      <c r="I273" s="70">
        <v>30</v>
      </c>
    </row>
    <row r="274" spans="2:9" hidden="1" outlineLevel="1" x14ac:dyDescent="0.25">
      <c r="B274" s="58"/>
      <c r="C274" s="58" t="s">
        <v>250</v>
      </c>
      <c r="E274" s="47">
        <v>40</v>
      </c>
      <c r="G274" s="49">
        <v>20</v>
      </c>
      <c r="H274" s="70"/>
      <c r="I274" s="70">
        <v>20</v>
      </c>
    </row>
    <row r="275" spans="2:9" hidden="1" outlineLevel="1" x14ac:dyDescent="0.25">
      <c r="B275" s="59" t="s">
        <v>253</v>
      </c>
      <c r="C275" s="58"/>
      <c r="H275" s="70"/>
      <c r="I275" s="70"/>
    </row>
    <row r="276" spans="2:9" hidden="1" outlineLevel="1" x14ac:dyDescent="0.25">
      <c r="B276" s="58"/>
      <c r="C276" s="58" t="s">
        <v>254</v>
      </c>
      <c r="E276" s="47">
        <v>20</v>
      </c>
      <c r="G276" s="49">
        <v>20</v>
      </c>
      <c r="H276" s="70"/>
      <c r="I276" s="70">
        <v>20</v>
      </c>
    </row>
    <row r="277" spans="2:9" hidden="1" outlineLevel="1" x14ac:dyDescent="0.25">
      <c r="B277" s="58"/>
      <c r="C277" s="58" t="s">
        <v>255</v>
      </c>
      <c r="E277" s="47">
        <v>25</v>
      </c>
      <c r="G277" s="49">
        <v>25</v>
      </c>
      <c r="H277" s="70"/>
      <c r="I277" s="70">
        <v>25</v>
      </c>
    </row>
    <row r="278" spans="2:9" hidden="1" outlineLevel="1" x14ac:dyDescent="0.25">
      <c r="B278" s="58"/>
      <c r="C278" s="58" t="s">
        <v>185</v>
      </c>
      <c r="E278" s="47">
        <v>30</v>
      </c>
      <c r="G278" s="49">
        <v>20</v>
      </c>
      <c r="H278" s="70"/>
      <c r="I278" s="70">
        <v>20</v>
      </c>
    </row>
    <row r="279" spans="2:9" hidden="1" outlineLevel="1" x14ac:dyDescent="0.25">
      <c r="B279" s="58"/>
      <c r="C279" s="58" t="s">
        <v>256</v>
      </c>
      <c r="E279" s="47">
        <v>30</v>
      </c>
      <c r="G279" s="49">
        <v>20</v>
      </c>
      <c r="H279" s="70"/>
      <c r="I279" s="70">
        <v>20</v>
      </c>
    </row>
    <row r="280" spans="2:9" collapsed="1" x14ac:dyDescent="0.25">
      <c r="B280" s="74"/>
      <c r="C280" s="74"/>
      <c r="D280" s="85"/>
      <c r="E280" s="75">
        <f>(1+$D$448+$D$449)*SUM(E217:E279)</f>
        <v>3225.6600000000003</v>
      </c>
      <c r="F280" s="94"/>
      <c r="G280" s="76">
        <f>(1+$D$448+$D$449)*SUM(G217:G279)</f>
        <v>1979.13</v>
      </c>
      <c r="H280" s="97"/>
      <c r="I280" s="77">
        <f>(1+$D$448+$D$449)*SUM(I217:I279)</f>
        <v>1734.93</v>
      </c>
    </row>
    <row r="281" spans="2:9" x14ac:dyDescent="0.25">
      <c r="D281" s="82"/>
      <c r="E281"/>
      <c r="F281" s="82"/>
      <c r="G281"/>
      <c r="H281" s="82"/>
      <c r="I281"/>
    </row>
    <row r="282" spans="2:9" x14ac:dyDescent="0.25">
      <c r="B282" s="59" t="s">
        <v>327</v>
      </c>
      <c r="C282" s="58"/>
      <c r="H282" s="70"/>
      <c r="I282" s="70"/>
    </row>
    <row r="283" spans="2:9" hidden="1" outlineLevel="1" x14ac:dyDescent="0.25">
      <c r="B283" s="58"/>
      <c r="C283" s="58" t="s">
        <v>147</v>
      </c>
      <c r="E283" s="47">
        <v>580</v>
      </c>
      <c r="G283" s="49">
        <v>580</v>
      </c>
      <c r="H283" s="70"/>
      <c r="I283" s="70">
        <v>0</v>
      </c>
    </row>
    <row r="284" spans="2:9" hidden="1" outlineLevel="1" x14ac:dyDescent="0.25">
      <c r="B284" s="58"/>
      <c r="C284" s="58" t="s">
        <v>195</v>
      </c>
      <c r="E284" s="47">
        <v>300</v>
      </c>
      <c r="G284" s="49">
        <v>200</v>
      </c>
      <c r="H284" s="70"/>
      <c r="I284" s="70">
        <v>200</v>
      </c>
    </row>
    <row r="285" spans="2:9" hidden="1" outlineLevel="1" x14ac:dyDescent="0.25">
      <c r="B285" s="58"/>
      <c r="C285" s="58" t="s">
        <v>148</v>
      </c>
      <c r="E285" s="47">
        <v>200</v>
      </c>
      <c r="G285" s="49">
        <v>100</v>
      </c>
      <c r="H285" s="70"/>
      <c r="I285" s="70">
        <v>100</v>
      </c>
    </row>
    <row r="286" spans="2:9" hidden="1" outlineLevel="1" x14ac:dyDescent="0.25">
      <c r="B286" s="58"/>
      <c r="C286" s="58" t="s">
        <v>178</v>
      </c>
      <c r="E286" s="47">
        <v>50</v>
      </c>
      <c r="G286" s="49">
        <v>50</v>
      </c>
      <c r="H286" s="70"/>
      <c r="I286" s="70">
        <v>100</v>
      </c>
    </row>
    <row r="287" spans="2:9" collapsed="1" x14ac:dyDescent="0.25">
      <c r="B287" s="74"/>
      <c r="C287" s="74"/>
      <c r="D287" s="85"/>
      <c r="E287" s="75">
        <f>(1+$D$448+$D$449)*SUM(E282:E286)</f>
        <v>1254.3000000000002</v>
      </c>
      <c r="F287" s="94"/>
      <c r="G287" s="76">
        <f>(1+$D$448+$D$449)*SUM(G282:G286)</f>
        <v>1032.3000000000002</v>
      </c>
      <c r="H287" s="97"/>
      <c r="I287" s="77">
        <f>(1+$D$448+$D$449)*SUM(I282:I286)</f>
        <v>444.00000000000006</v>
      </c>
    </row>
    <row r="288" spans="2:9" x14ac:dyDescent="0.25">
      <c r="B288"/>
      <c r="D288" s="52"/>
      <c r="E288" s="52"/>
      <c r="F288" s="52"/>
      <c r="G288" s="52"/>
      <c r="H288" s="52"/>
      <c r="I288" s="52"/>
    </row>
    <row r="289" spans="2:9" x14ac:dyDescent="0.25">
      <c r="B289" s="64" t="s">
        <v>370</v>
      </c>
      <c r="C289" s="66"/>
      <c r="D289" s="65"/>
      <c r="E289" s="65"/>
      <c r="F289" s="65"/>
      <c r="G289" s="65"/>
      <c r="H289" s="65"/>
      <c r="I289" s="65"/>
    </row>
    <row r="290" spans="2:9" x14ac:dyDescent="0.25">
      <c r="D290" s="82"/>
      <c r="E290"/>
      <c r="F290" s="82"/>
      <c r="G290"/>
      <c r="H290" s="82"/>
      <c r="I290"/>
    </row>
    <row r="291" spans="2:9" x14ac:dyDescent="0.25">
      <c r="B291" s="59" t="s">
        <v>283</v>
      </c>
      <c r="C291" s="58"/>
      <c r="H291" s="70"/>
      <c r="I291" s="70"/>
    </row>
    <row r="292" spans="2:9" hidden="1" outlineLevel="1" x14ac:dyDescent="0.25">
      <c r="B292" s="58"/>
      <c r="C292" s="58" t="s">
        <v>279</v>
      </c>
      <c r="E292" s="47">
        <v>300</v>
      </c>
      <c r="G292" s="49">
        <v>200</v>
      </c>
      <c r="H292" s="70"/>
      <c r="I292" s="70">
        <v>200</v>
      </c>
    </row>
    <row r="293" spans="2:9" hidden="1" outlineLevel="1" x14ac:dyDescent="0.25">
      <c r="B293" s="58"/>
      <c r="C293" s="58" t="s">
        <v>278</v>
      </c>
      <c r="E293" s="47">
        <v>100</v>
      </c>
      <c r="G293" s="49">
        <v>50</v>
      </c>
      <c r="H293" s="70"/>
      <c r="I293" s="70">
        <v>50</v>
      </c>
    </row>
    <row r="294" spans="2:9" hidden="1" outlineLevel="1" x14ac:dyDescent="0.25">
      <c r="B294" s="58"/>
      <c r="C294" s="58" t="s">
        <v>280</v>
      </c>
      <c r="E294" s="47">
        <v>30</v>
      </c>
      <c r="G294" s="49">
        <v>20</v>
      </c>
      <c r="H294" s="70"/>
      <c r="I294" s="70">
        <v>20</v>
      </c>
    </row>
    <row r="295" spans="2:9" hidden="1" outlineLevel="1" x14ac:dyDescent="0.25">
      <c r="B295" s="58"/>
      <c r="C295" s="58" t="s">
        <v>281</v>
      </c>
      <c r="E295" s="47">
        <v>30</v>
      </c>
      <c r="G295" s="49">
        <v>30</v>
      </c>
      <c r="H295" s="70"/>
      <c r="I295" s="70">
        <v>30</v>
      </c>
    </row>
    <row r="296" spans="2:9" hidden="1" outlineLevel="1" x14ac:dyDescent="0.25">
      <c r="B296" s="58"/>
      <c r="C296" s="58" t="s">
        <v>282</v>
      </c>
      <c r="E296" s="47">
        <v>30</v>
      </c>
      <c r="G296" s="49">
        <v>30</v>
      </c>
      <c r="H296" s="70"/>
      <c r="I296" s="70">
        <v>30</v>
      </c>
    </row>
    <row r="297" spans="2:9" hidden="1" outlineLevel="1" x14ac:dyDescent="0.25">
      <c r="B297" s="58"/>
      <c r="C297" s="58" t="s">
        <v>276</v>
      </c>
      <c r="E297" s="47">
        <v>30</v>
      </c>
      <c r="G297" s="49">
        <v>20</v>
      </c>
      <c r="H297" s="70"/>
      <c r="I297" s="70">
        <v>20</v>
      </c>
    </row>
    <row r="298" spans="2:9" hidden="1" outlineLevel="1" x14ac:dyDescent="0.25">
      <c r="B298" s="58"/>
      <c r="C298" s="58" t="s">
        <v>164</v>
      </c>
      <c r="E298" s="47">
        <v>70</v>
      </c>
      <c r="G298" s="49">
        <v>50</v>
      </c>
      <c r="H298" s="70"/>
      <c r="I298" s="70">
        <v>50</v>
      </c>
    </row>
    <row r="299" spans="2:9" hidden="1" outlineLevel="1" x14ac:dyDescent="0.25">
      <c r="B299" s="58"/>
      <c r="C299" s="58" t="s">
        <v>165</v>
      </c>
      <c r="E299" s="47">
        <v>100</v>
      </c>
      <c r="G299" s="49">
        <v>70</v>
      </c>
      <c r="H299" s="70"/>
      <c r="I299" s="70">
        <v>70</v>
      </c>
    </row>
    <row r="300" spans="2:9" hidden="1" outlineLevel="1" x14ac:dyDescent="0.25">
      <c r="B300" s="58"/>
      <c r="C300" s="58" t="s">
        <v>292</v>
      </c>
      <c r="E300" s="47">
        <v>10</v>
      </c>
      <c r="G300" s="49">
        <v>10</v>
      </c>
      <c r="H300" s="70"/>
      <c r="I300" s="70">
        <v>10</v>
      </c>
    </row>
    <row r="301" spans="2:9" collapsed="1" x14ac:dyDescent="0.25">
      <c r="B301" s="74"/>
      <c r="C301" s="74"/>
      <c r="D301" s="85"/>
      <c r="E301" s="75">
        <f>(1+$D$448+$D$449)*SUM(E292:E300)</f>
        <v>777.00000000000011</v>
      </c>
      <c r="F301" s="94"/>
      <c r="G301" s="76">
        <f>(1+$D$448+$D$449)*SUM(G292:G300)</f>
        <v>532.80000000000007</v>
      </c>
      <c r="H301" s="97"/>
      <c r="I301" s="77">
        <f>(1+$D$448+$D$449)*SUM(I292:I300)</f>
        <v>532.80000000000007</v>
      </c>
    </row>
    <row r="302" spans="2:9" x14ac:dyDescent="0.25">
      <c r="D302" s="82"/>
      <c r="E302"/>
      <c r="F302" s="82"/>
      <c r="G302"/>
      <c r="H302" s="82"/>
      <c r="I302"/>
    </row>
    <row r="303" spans="2:9" x14ac:dyDescent="0.25">
      <c r="B303" s="59" t="s">
        <v>290</v>
      </c>
      <c r="C303" s="58"/>
      <c r="H303" s="70"/>
      <c r="I303" s="70"/>
    </row>
    <row r="304" spans="2:9" hidden="1" outlineLevel="1" x14ac:dyDescent="0.25">
      <c r="B304" s="58"/>
      <c r="C304" s="58" t="s">
        <v>174</v>
      </c>
      <c r="E304" s="47">
        <v>100</v>
      </c>
      <c r="G304" s="49">
        <v>50</v>
      </c>
      <c r="H304" s="70"/>
      <c r="I304" s="70">
        <v>50</v>
      </c>
    </row>
    <row r="305" spans="2:9" hidden="1" outlineLevel="1" x14ac:dyDescent="0.25">
      <c r="B305" s="58"/>
      <c r="C305" s="58" t="s">
        <v>161</v>
      </c>
      <c r="E305" s="47">
        <v>30</v>
      </c>
      <c r="G305" s="49">
        <v>20</v>
      </c>
      <c r="H305" s="70"/>
      <c r="I305" s="70">
        <v>20</v>
      </c>
    </row>
    <row r="306" spans="2:9" hidden="1" outlineLevel="1" x14ac:dyDescent="0.25">
      <c r="B306" s="58"/>
      <c r="C306" s="58" t="s">
        <v>159</v>
      </c>
      <c r="E306" s="47">
        <v>50</v>
      </c>
      <c r="G306" s="49">
        <v>30</v>
      </c>
      <c r="H306" s="70"/>
      <c r="I306" s="70">
        <v>30</v>
      </c>
    </row>
    <row r="307" spans="2:9" hidden="1" outlineLevel="1" x14ac:dyDescent="0.25">
      <c r="B307" s="58"/>
      <c r="C307" s="58" t="s">
        <v>258</v>
      </c>
      <c r="E307" s="47">
        <v>50</v>
      </c>
      <c r="G307" s="49">
        <v>30</v>
      </c>
      <c r="H307" s="70"/>
      <c r="I307" s="70">
        <v>30</v>
      </c>
    </row>
    <row r="308" spans="2:9" hidden="1" outlineLevel="1" x14ac:dyDescent="0.25">
      <c r="B308" s="58"/>
      <c r="C308" s="58" t="s">
        <v>162</v>
      </c>
      <c r="E308" s="47">
        <v>20</v>
      </c>
      <c r="G308" s="49">
        <v>10</v>
      </c>
      <c r="H308" s="70"/>
      <c r="I308" s="70">
        <v>10</v>
      </c>
    </row>
    <row r="309" spans="2:9" hidden="1" outlineLevel="1" x14ac:dyDescent="0.25">
      <c r="B309" s="58"/>
      <c r="C309" s="58" t="s">
        <v>167</v>
      </c>
      <c r="E309" s="47">
        <v>100</v>
      </c>
      <c r="G309" s="49">
        <v>50</v>
      </c>
      <c r="H309" s="70"/>
      <c r="I309" s="70">
        <v>50</v>
      </c>
    </row>
    <row r="310" spans="2:9" hidden="1" outlineLevel="1" x14ac:dyDescent="0.25">
      <c r="B310" s="58"/>
      <c r="C310" s="58" t="s">
        <v>259</v>
      </c>
      <c r="E310" s="47">
        <v>30</v>
      </c>
      <c r="G310" s="49">
        <v>20</v>
      </c>
      <c r="H310" s="70"/>
      <c r="I310" s="70">
        <v>20</v>
      </c>
    </row>
    <row r="311" spans="2:9" hidden="1" outlineLevel="1" x14ac:dyDescent="0.25">
      <c r="B311" s="58"/>
      <c r="C311" s="58" t="s">
        <v>170</v>
      </c>
      <c r="E311" s="47">
        <v>30</v>
      </c>
      <c r="G311" s="49">
        <v>20</v>
      </c>
      <c r="H311" s="70"/>
      <c r="I311" s="70">
        <v>20</v>
      </c>
    </row>
    <row r="312" spans="2:9" collapsed="1" x14ac:dyDescent="0.25">
      <c r="B312" s="74"/>
      <c r="C312" s="74"/>
      <c r="D312" s="85"/>
      <c r="E312" s="75">
        <f>(1+$D$448+$D$449)*SUM(E304:E311)</f>
        <v>455.1</v>
      </c>
      <c r="F312" s="94"/>
      <c r="G312" s="76">
        <f>(1+$D$448+$D$449)*SUM(G304:G311)</f>
        <v>255.3</v>
      </c>
      <c r="H312" s="97"/>
      <c r="I312" s="77">
        <f>(1+$D$448+$D$449)*SUM(I304:I311)</f>
        <v>255.3</v>
      </c>
    </row>
    <row r="313" spans="2:9" x14ac:dyDescent="0.25">
      <c r="D313" s="82"/>
      <c r="E313"/>
      <c r="F313" s="82"/>
      <c r="G313"/>
      <c r="H313" s="82"/>
      <c r="I313"/>
    </row>
    <row r="314" spans="2:9" x14ac:dyDescent="0.25">
      <c r="B314" s="59" t="s">
        <v>332</v>
      </c>
      <c r="C314" s="58"/>
      <c r="H314" s="70"/>
      <c r="I314" s="70"/>
    </row>
    <row r="315" spans="2:9" hidden="1" outlineLevel="1" x14ac:dyDescent="0.25">
      <c r="B315" s="58"/>
      <c r="C315" s="58" t="s">
        <v>289</v>
      </c>
      <c r="E315" s="47">
        <v>100</v>
      </c>
      <c r="G315" s="49">
        <v>50</v>
      </c>
      <c r="H315" s="70"/>
      <c r="I315" s="70">
        <v>50</v>
      </c>
    </row>
    <row r="316" spans="2:9" hidden="1" outlineLevel="1" x14ac:dyDescent="0.25">
      <c r="B316" s="58"/>
      <c r="C316" s="58" t="s">
        <v>177</v>
      </c>
      <c r="E316" s="47">
        <v>30</v>
      </c>
      <c r="G316" s="49">
        <v>20</v>
      </c>
      <c r="H316" s="70"/>
      <c r="I316" s="70">
        <v>20</v>
      </c>
    </row>
    <row r="317" spans="2:9" hidden="1" outlineLevel="1" x14ac:dyDescent="0.25">
      <c r="B317" s="58"/>
      <c r="C317" s="58" t="s">
        <v>183</v>
      </c>
      <c r="E317" s="47">
        <v>100</v>
      </c>
      <c r="G317" s="49">
        <v>50</v>
      </c>
      <c r="H317" s="70"/>
      <c r="I317" s="70">
        <v>50</v>
      </c>
    </row>
    <row r="318" spans="2:9" hidden="1" outlineLevel="1" x14ac:dyDescent="0.25">
      <c r="B318" s="58"/>
      <c r="C318" s="58" t="s">
        <v>184</v>
      </c>
      <c r="E318" s="47">
        <v>30</v>
      </c>
      <c r="G318" s="49">
        <v>20</v>
      </c>
      <c r="H318" s="70"/>
      <c r="I318" s="70">
        <v>20</v>
      </c>
    </row>
    <row r="319" spans="2:9" hidden="1" outlineLevel="1" x14ac:dyDescent="0.25">
      <c r="B319" s="58"/>
      <c r="C319" s="58" t="s">
        <v>155</v>
      </c>
      <c r="E319" s="47">
        <v>30</v>
      </c>
      <c r="G319" s="49">
        <v>20</v>
      </c>
      <c r="H319" s="70"/>
      <c r="I319" s="70">
        <v>20</v>
      </c>
    </row>
    <row r="320" spans="2:9" hidden="1" outlineLevel="1" x14ac:dyDescent="0.25">
      <c r="B320" s="58"/>
      <c r="C320" s="58" t="s">
        <v>156</v>
      </c>
      <c r="E320" s="47">
        <v>30</v>
      </c>
      <c r="G320" s="49">
        <v>20</v>
      </c>
      <c r="H320" s="70"/>
      <c r="I320" s="70">
        <v>20</v>
      </c>
    </row>
    <row r="321" spans="2:9" hidden="1" outlineLevel="1" x14ac:dyDescent="0.25">
      <c r="B321" s="58"/>
      <c r="C321" s="58" t="s">
        <v>158</v>
      </c>
      <c r="E321" s="47">
        <v>60</v>
      </c>
      <c r="G321" s="49">
        <v>40</v>
      </c>
      <c r="H321" s="70"/>
      <c r="I321" s="70">
        <v>40</v>
      </c>
    </row>
    <row r="322" spans="2:9" collapsed="1" x14ac:dyDescent="0.25">
      <c r="B322" s="74"/>
      <c r="C322" s="74"/>
      <c r="D322" s="85"/>
      <c r="E322" s="75">
        <f>(1+$D$448+$D$449)*SUM(E315:E321)</f>
        <v>421.8</v>
      </c>
      <c r="F322" s="94"/>
      <c r="G322" s="76">
        <f>(1+$D$448+$D$449)*SUM(G315:G321)</f>
        <v>244.20000000000002</v>
      </c>
      <c r="H322" s="97"/>
      <c r="I322" s="77">
        <f>(1+$D$448+$D$449)*SUM(I315:I321)</f>
        <v>244.20000000000002</v>
      </c>
    </row>
    <row r="323" spans="2:9" x14ac:dyDescent="0.25">
      <c r="D323" s="82"/>
      <c r="E323"/>
      <c r="F323" s="82"/>
      <c r="G323"/>
      <c r="H323" s="82"/>
      <c r="I323"/>
    </row>
    <row r="324" spans="2:9" x14ac:dyDescent="0.25">
      <c r="B324" s="59" t="s">
        <v>263</v>
      </c>
      <c r="C324" s="58"/>
      <c r="H324" s="70"/>
      <c r="I324" s="70"/>
    </row>
    <row r="325" spans="2:9" hidden="1" outlineLevel="1" x14ac:dyDescent="0.25">
      <c r="B325" s="58"/>
      <c r="C325" s="58" t="s">
        <v>176</v>
      </c>
      <c r="E325" s="47">
        <v>75</v>
      </c>
      <c r="G325" s="49">
        <v>50</v>
      </c>
      <c r="H325" s="70"/>
      <c r="I325" s="70">
        <v>50</v>
      </c>
    </row>
    <row r="326" spans="2:9" hidden="1" outlineLevel="1" x14ac:dyDescent="0.25">
      <c r="B326" s="58"/>
      <c r="C326" s="58" t="s">
        <v>294</v>
      </c>
      <c r="E326" s="47">
        <v>10</v>
      </c>
      <c r="G326" s="49">
        <v>10</v>
      </c>
      <c r="H326" s="70"/>
      <c r="I326" s="70">
        <v>10</v>
      </c>
    </row>
    <row r="327" spans="2:9" hidden="1" outlineLevel="1" x14ac:dyDescent="0.25">
      <c r="B327" s="58"/>
      <c r="C327" s="58" t="s">
        <v>268</v>
      </c>
      <c r="E327" s="47">
        <v>20</v>
      </c>
      <c r="G327" s="49">
        <v>20</v>
      </c>
      <c r="H327" s="70"/>
      <c r="I327" s="70">
        <v>20</v>
      </c>
    </row>
    <row r="328" spans="2:9" hidden="1" outlineLevel="1" x14ac:dyDescent="0.25">
      <c r="B328" s="58"/>
      <c r="C328" s="58" t="s">
        <v>295</v>
      </c>
      <c r="E328" s="47">
        <v>100</v>
      </c>
      <c r="G328" s="49">
        <v>100</v>
      </c>
      <c r="H328" s="70"/>
      <c r="I328" s="70">
        <v>100</v>
      </c>
    </row>
    <row r="329" spans="2:9" hidden="1" outlineLevel="1" x14ac:dyDescent="0.25">
      <c r="B329" s="58"/>
      <c r="C329" s="58" t="s">
        <v>299</v>
      </c>
      <c r="E329" s="47">
        <v>50</v>
      </c>
      <c r="G329" s="49">
        <v>50</v>
      </c>
      <c r="H329" s="70"/>
      <c r="I329" s="70">
        <v>50</v>
      </c>
    </row>
    <row r="330" spans="2:9" hidden="1" outlineLevel="1" x14ac:dyDescent="0.25">
      <c r="B330" s="58"/>
      <c r="C330" s="58" t="s">
        <v>300</v>
      </c>
      <c r="E330" s="47">
        <v>50</v>
      </c>
      <c r="G330" s="49">
        <v>50</v>
      </c>
      <c r="H330" s="70"/>
      <c r="I330" s="70">
        <v>50</v>
      </c>
    </row>
    <row r="331" spans="2:9" hidden="1" outlineLevel="1" x14ac:dyDescent="0.25">
      <c r="B331" s="58"/>
      <c r="C331" s="58" t="s">
        <v>296</v>
      </c>
      <c r="E331" s="47">
        <v>100</v>
      </c>
      <c r="G331" s="49">
        <v>70</v>
      </c>
      <c r="H331" s="70"/>
      <c r="I331" s="70">
        <v>70</v>
      </c>
    </row>
    <row r="332" spans="2:9" hidden="1" outlineLevel="1" x14ac:dyDescent="0.25">
      <c r="B332" s="58"/>
      <c r="C332" s="58" t="s">
        <v>297</v>
      </c>
      <c r="E332" s="47">
        <v>100</v>
      </c>
      <c r="G332" s="49">
        <v>50</v>
      </c>
      <c r="H332" s="70"/>
      <c r="I332" s="70">
        <v>50</v>
      </c>
    </row>
    <row r="333" spans="2:9" hidden="1" outlineLevel="1" x14ac:dyDescent="0.25">
      <c r="B333" s="58"/>
      <c r="C333" s="58" t="s">
        <v>298</v>
      </c>
      <c r="E333" s="47">
        <v>60</v>
      </c>
      <c r="G333" s="49">
        <v>40</v>
      </c>
      <c r="H333" s="70"/>
      <c r="I333" s="70">
        <v>40</v>
      </c>
    </row>
    <row r="334" spans="2:9" hidden="1" outlineLevel="1" x14ac:dyDescent="0.25">
      <c r="B334" s="58"/>
      <c r="C334" s="58" t="s">
        <v>277</v>
      </c>
      <c r="E334" s="47">
        <v>30</v>
      </c>
      <c r="G334" s="49">
        <v>30</v>
      </c>
      <c r="H334" s="70"/>
      <c r="I334" s="70">
        <v>30</v>
      </c>
    </row>
    <row r="335" spans="2:9" hidden="1" outlineLevel="1" x14ac:dyDescent="0.25">
      <c r="B335" s="58"/>
      <c r="C335" s="58" t="s">
        <v>302</v>
      </c>
      <c r="E335" s="47">
        <v>15</v>
      </c>
      <c r="G335" s="49">
        <v>15</v>
      </c>
      <c r="H335" s="70"/>
      <c r="I335" s="70">
        <v>15</v>
      </c>
    </row>
    <row r="336" spans="2:9" hidden="1" outlineLevel="1" x14ac:dyDescent="0.25">
      <c r="B336" s="58"/>
      <c r="C336" s="58" t="s">
        <v>303</v>
      </c>
      <c r="E336" s="47">
        <v>50</v>
      </c>
      <c r="G336" s="49">
        <v>35</v>
      </c>
      <c r="H336" s="70"/>
      <c r="I336" s="70">
        <v>35</v>
      </c>
    </row>
    <row r="337" spans="2:9" hidden="1" outlineLevel="1" x14ac:dyDescent="0.25">
      <c r="B337" s="58"/>
      <c r="C337" s="58" t="s">
        <v>304</v>
      </c>
      <c r="E337" s="47">
        <v>10</v>
      </c>
      <c r="G337" s="49">
        <v>10</v>
      </c>
      <c r="H337" s="70"/>
      <c r="I337" s="70">
        <v>10</v>
      </c>
    </row>
    <row r="338" spans="2:9" hidden="1" outlineLevel="1" x14ac:dyDescent="0.25">
      <c r="B338" s="58"/>
      <c r="C338" s="58" t="s">
        <v>166</v>
      </c>
      <c r="E338" s="47">
        <v>30</v>
      </c>
      <c r="G338" s="49">
        <v>15</v>
      </c>
      <c r="H338" s="70"/>
      <c r="I338" s="70">
        <v>15</v>
      </c>
    </row>
    <row r="339" spans="2:9" hidden="1" outlineLevel="1" x14ac:dyDescent="0.25">
      <c r="B339" s="58"/>
      <c r="C339" s="58" t="s">
        <v>269</v>
      </c>
      <c r="E339" s="47">
        <v>30</v>
      </c>
      <c r="G339" s="49">
        <v>20</v>
      </c>
      <c r="H339" s="70"/>
      <c r="I339" s="70">
        <v>20</v>
      </c>
    </row>
    <row r="340" spans="2:9" hidden="1" outlineLevel="1" x14ac:dyDescent="0.25">
      <c r="B340" s="58"/>
      <c r="C340" s="58" t="s">
        <v>265</v>
      </c>
      <c r="E340" s="47">
        <v>200</v>
      </c>
      <c r="G340" s="49">
        <v>150</v>
      </c>
      <c r="H340" s="70"/>
      <c r="I340" s="70">
        <v>150</v>
      </c>
    </row>
    <row r="341" spans="2:9" hidden="1" outlineLevel="1" x14ac:dyDescent="0.25">
      <c r="B341" s="58"/>
      <c r="C341" s="58" t="s">
        <v>266</v>
      </c>
      <c r="E341" s="47">
        <v>150</v>
      </c>
      <c r="G341" s="49">
        <v>120</v>
      </c>
      <c r="H341" s="70"/>
      <c r="I341" s="70">
        <v>120</v>
      </c>
    </row>
    <row r="342" spans="2:9" hidden="1" outlineLevel="1" x14ac:dyDescent="0.25">
      <c r="B342" s="58"/>
      <c r="C342" s="58" t="s">
        <v>270</v>
      </c>
      <c r="E342" s="47">
        <v>150</v>
      </c>
      <c r="G342" s="49">
        <v>100</v>
      </c>
      <c r="H342" s="70"/>
      <c r="I342" s="70">
        <v>100</v>
      </c>
    </row>
    <row r="343" spans="2:9" hidden="1" outlineLevel="1" x14ac:dyDescent="0.25">
      <c r="B343" s="58"/>
      <c r="C343" s="58" t="s">
        <v>301</v>
      </c>
      <c r="E343" s="47">
        <v>70</v>
      </c>
      <c r="G343" s="49">
        <v>50</v>
      </c>
      <c r="H343" s="70"/>
      <c r="I343" s="70">
        <v>50</v>
      </c>
    </row>
    <row r="344" spans="2:9" hidden="1" outlineLevel="1" x14ac:dyDescent="0.25">
      <c r="B344" s="58"/>
      <c r="C344" s="58" t="s">
        <v>267</v>
      </c>
      <c r="E344" s="47">
        <v>80</v>
      </c>
      <c r="G344" s="49">
        <v>50</v>
      </c>
      <c r="H344" s="70"/>
      <c r="I344" s="70">
        <v>50</v>
      </c>
    </row>
    <row r="345" spans="2:9" hidden="1" outlineLevel="1" x14ac:dyDescent="0.25">
      <c r="B345" s="58"/>
      <c r="C345" s="58" t="s">
        <v>274</v>
      </c>
      <c r="E345" s="47">
        <v>170</v>
      </c>
      <c r="G345" s="49">
        <v>130</v>
      </c>
      <c r="H345" s="70"/>
      <c r="I345" s="70">
        <v>130</v>
      </c>
    </row>
    <row r="346" spans="2:9" hidden="1" outlineLevel="1" x14ac:dyDescent="0.25">
      <c r="B346" s="58"/>
      <c r="C346" s="58" t="s">
        <v>284</v>
      </c>
      <c r="E346" s="47">
        <v>50</v>
      </c>
      <c r="G346" s="49">
        <v>30</v>
      </c>
      <c r="H346" s="70"/>
      <c r="I346" s="70">
        <v>30</v>
      </c>
    </row>
    <row r="347" spans="2:9" collapsed="1" x14ac:dyDescent="0.25">
      <c r="B347" s="74"/>
      <c r="C347" s="74"/>
      <c r="D347" s="85"/>
      <c r="E347" s="75">
        <f>(1+$D$448+$D$449)*SUM(E325:E346)</f>
        <v>1776.0000000000002</v>
      </c>
      <c r="F347" s="94"/>
      <c r="G347" s="76">
        <f>(1+$D$448+$D$449)*SUM(G325:G346)</f>
        <v>1326.45</v>
      </c>
      <c r="H347" s="97"/>
      <c r="I347" s="77">
        <f>(1+$D$448+$D$449)*SUM(I325:I346)</f>
        <v>1326.45</v>
      </c>
    </row>
    <row r="348" spans="2:9" x14ac:dyDescent="0.25">
      <c r="D348" s="82"/>
      <c r="E348"/>
      <c r="F348" s="82"/>
      <c r="G348"/>
      <c r="H348" s="82"/>
      <c r="I348"/>
    </row>
    <row r="349" spans="2:9" x14ac:dyDescent="0.25">
      <c r="B349" s="98" t="s">
        <v>395</v>
      </c>
      <c r="C349" s="58"/>
      <c r="H349" s="70"/>
      <c r="I349" s="70"/>
    </row>
    <row r="350" spans="2:9" hidden="1" outlineLevel="1" x14ac:dyDescent="0.25">
      <c r="B350" s="58"/>
      <c r="C350" s="58" t="s">
        <v>417</v>
      </c>
      <c r="E350" s="47">
        <v>100</v>
      </c>
      <c r="G350" s="49">
        <v>100</v>
      </c>
      <c r="H350" s="70"/>
      <c r="I350" s="70">
        <v>100</v>
      </c>
    </row>
    <row r="351" spans="2:9" hidden="1" outlineLevel="1" x14ac:dyDescent="0.25">
      <c r="B351" s="58"/>
      <c r="C351" s="58" t="s">
        <v>416</v>
      </c>
      <c r="E351" s="47">
        <v>100</v>
      </c>
      <c r="G351" s="49">
        <v>100</v>
      </c>
      <c r="H351" s="70"/>
      <c r="I351" s="70">
        <v>100</v>
      </c>
    </row>
    <row r="352" spans="2:9" hidden="1" outlineLevel="1" x14ac:dyDescent="0.25">
      <c r="B352" s="58"/>
      <c r="C352" s="58" t="s">
        <v>396</v>
      </c>
      <c r="E352" s="47">
        <v>50</v>
      </c>
      <c r="G352" s="49">
        <v>50</v>
      </c>
      <c r="H352" s="70"/>
      <c r="I352" s="70">
        <v>50</v>
      </c>
    </row>
    <row r="353" spans="2:9" hidden="1" outlineLevel="1" x14ac:dyDescent="0.25">
      <c r="B353" s="58"/>
      <c r="C353" s="58" t="s">
        <v>397</v>
      </c>
      <c r="E353" s="47">
        <v>100</v>
      </c>
      <c r="G353" s="49">
        <v>100</v>
      </c>
      <c r="H353" s="70"/>
      <c r="I353" s="70">
        <v>100</v>
      </c>
    </row>
    <row r="354" spans="2:9" hidden="1" outlineLevel="1" x14ac:dyDescent="0.25">
      <c r="B354" s="58"/>
      <c r="C354" s="58" t="s">
        <v>398</v>
      </c>
      <c r="E354" s="47">
        <v>50</v>
      </c>
      <c r="G354" s="49">
        <v>50</v>
      </c>
      <c r="H354" s="70"/>
      <c r="I354" s="70">
        <v>50</v>
      </c>
    </row>
    <row r="355" spans="2:9" hidden="1" outlineLevel="1" x14ac:dyDescent="0.25">
      <c r="B355" s="58"/>
      <c r="C355" s="58" t="s">
        <v>399</v>
      </c>
      <c r="E355" s="47">
        <v>200</v>
      </c>
      <c r="G355" s="49">
        <v>200</v>
      </c>
      <c r="H355" s="70"/>
      <c r="I355" s="70">
        <v>200</v>
      </c>
    </row>
    <row r="356" spans="2:9" hidden="1" outlineLevel="1" x14ac:dyDescent="0.25">
      <c r="B356" s="58"/>
      <c r="C356" s="58" t="s">
        <v>400</v>
      </c>
      <c r="E356" s="47">
        <v>60</v>
      </c>
      <c r="G356" s="49">
        <v>60</v>
      </c>
      <c r="H356" s="70"/>
      <c r="I356" s="70">
        <v>60</v>
      </c>
    </row>
    <row r="357" spans="2:9" hidden="1" outlineLevel="1" x14ac:dyDescent="0.25">
      <c r="B357" s="58"/>
      <c r="C357" s="58" t="s">
        <v>401</v>
      </c>
      <c r="E357" s="47">
        <v>25</v>
      </c>
      <c r="G357" s="49">
        <v>25</v>
      </c>
      <c r="H357" s="70"/>
      <c r="I357" s="70">
        <v>25</v>
      </c>
    </row>
    <row r="358" spans="2:9" hidden="1" outlineLevel="1" x14ac:dyDescent="0.25">
      <c r="B358" s="58"/>
      <c r="C358" s="58" t="s">
        <v>402</v>
      </c>
      <c r="E358" s="47">
        <v>40</v>
      </c>
      <c r="G358" s="49">
        <v>40</v>
      </c>
      <c r="H358" s="70"/>
      <c r="I358" s="70">
        <v>40</v>
      </c>
    </row>
    <row r="359" spans="2:9" hidden="1" outlineLevel="1" x14ac:dyDescent="0.25">
      <c r="B359" s="58"/>
      <c r="C359" s="58" t="s">
        <v>403</v>
      </c>
      <c r="E359" s="47">
        <v>250</v>
      </c>
      <c r="G359" s="49">
        <v>250</v>
      </c>
      <c r="H359" s="70"/>
      <c r="I359" s="70">
        <v>250</v>
      </c>
    </row>
    <row r="360" spans="2:9" hidden="1" outlineLevel="1" x14ac:dyDescent="0.25">
      <c r="B360" s="58"/>
      <c r="C360" s="58" t="s">
        <v>404</v>
      </c>
      <c r="E360" s="47">
        <v>100</v>
      </c>
      <c r="G360" s="49">
        <v>100</v>
      </c>
      <c r="H360" s="70"/>
      <c r="I360" s="70">
        <v>100</v>
      </c>
    </row>
    <row r="361" spans="2:9" hidden="1" outlineLevel="1" x14ac:dyDescent="0.25">
      <c r="B361" s="58"/>
      <c r="C361" s="58" t="s">
        <v>405</v>
      </c>
      <c r="E361" s="47">
        <v>300</v>
      </c>
      <c r="G361" s="49">
        <v>300</v>
      </c>
      <c r="H361" s="70"/>
      <c r="I361" s="70">
        <v>300</v>
      </c>
    </row>
    <row r="362" spans="2:9" hidden="1" outlineLevel="1" x14ac:dyDescent="0.25">
      <c r="B362" s="58"/>
      <c r="C362" s="58" t="s">
        <v>406</v>
      </c>
      <c r="E362" s="47">
        <v>500</v>
      </c>
      <c r="G362" s="49">
        <v>500</v>
      </c>
      <c r="H362" s="70"/>
      <c r="I362" s="70">
        <v>500</v>
      </c>
    </row>
    <row r="363" spans="2:9" hidden="1" outlineLevel="1" x14ac:dyDescent="0.25">
      <c r="B363" s="58"/>
      <c r="C363" s="58" t="s">
        <v>407</v>
      </c>
      <c r="E363" s="47">
        <v>50</v>
      </c>
      <c r="G363" s="49">
        <v>50</v>
      </c>
      <c r="H363" s="70"/>
      <c r="I363" s="70">
        <v>50</v>
      </c>
    </row>
    <row r="364" spans="2:9" hidden="1" outlineLevel="1" x14ac:dyDescent="0.25">
      <c r="B364" s="58"/>
      <c r="C364" s="58" t="s">
        <v>408</v>
      </c>
      <c r="E364" s="47">
        <v>50</v>
      </c>
      <c r="G364" s="49">
        <v>50</v>
      </c>
      <c r="H364" s="70"/>
      <c r="I364" s="70">
        <v>50</v>
      </c>
    </row>
    <row r="365" spans="2:9" hidden="1" outlineLevel="1" x14ac:dyDescent="0.25">
      <c r="B365" s="58"/>
      <c r="C365" s="58" t="s">
        <v>409</v>
      </c>
      <c r="E365" s="47">
        <v>100</v>
      </c>
      <c r="G365" s="49">
        <v>100</v>
      </c>
      <c r="H365" s="70"/>
      <c r="I365" s="70">
        <v>100</v>
      </c>
    </row>
    <row r="366" spans="2:9" hidden="1" outlineLevel="1" x14ac:dyDescent="0.25">
      <c r="B366" s="58"/>
      <c r="C366" s="58" t="s">
        <v>410</v>
      </c>
      <c r="E366" s="47">
        <v>60</v>
      </c>
      <c r="G366" s="49">
        <v>60</v>
      </c>
      <c r="H366" s="70"/>
      <c r="I366" s="70">
        <v>60</v>
      </c>
    </row>
    <row r="367" spans="2:9" hidden="1" outlineLevel="1" x14ac:dyDescent="0.25">
      <c r="B367" s="58"/>
      <c r="C367" s="58" t="s">
        <v>411</v>
      </c>
      <c r="E367" s="47">
        <v>50</v>
      </c>
      <c r="G367" s="49">
        <v>50</v>
      </c>
      <c r="H367" s="70"/>
      <c r="I367" s="70">
        <v>50</v>
      </c>
    </row>
    <row r="368" spans="2:9" hidden="1" outlineLevel="1" x14ac:dyDescent="0.25">
      <c r="B368" s="58"/>
      <c r="C368" s="58" t="s">
        <v>412</v>
      </c>
      <c r="E368" s="47">
        <v>150</v>
      </c>
      <c r="G368" s="49">
        <v>150</v>
      </c>
      <c r="H368" s="70"/>
      <c r="I368" s="70">
        <v>150</v>
      </c>
    </row>
    <row r="369" spans="2:9" hidden="1" outlineLevel="1" x14ac:dyDescent="0.25">
      <c r="B369" s="58"/>
      <c r="C369" s="58" t="s">
        <v>413</v>
      </c>
      <c r="E369" s="47">
        <v>40</v>
      </c>
      <c r="G369" s="49">
        <v>40</v>
      </c>
      <c r="H369" s="70"/>
      <c r="I369" s="70">
        <v>40</v>
      </c>
    </row>
    <row r="370" spans="2:9" hidden="1" outlineLevel="1" x14ac:dyDescent="0.25">
      <c r="B370" s="58"/>
      <c r="C370" s="58" t="s">
        <v>414</v>
      </c>
      <c r="E370" s="47">
        <v>500</v>
      </c>
      <c r="G370" s="49">
        <v>0</v>
      </c>
      <c r="H370" s="70"/>
      <c r="I370" s="70">
        <v>0</v>
      </c>
    </row>
    <row r="371" spans="2:9" hidden="1" outlineLevel="1" x14ac:dyDescent="0.25">
      <c r="B371" s="58"/>
      <c r="C371" s="58" t="s">
        <v>415</v>
      </c>
      <c r="E371" s="47">
        <v>60</v>
      </c>
      <c r="G371" s="49">
        <v>60</v>
      </c>
      <c r="H371" s="70"/>
      <c r="I371" s="70">
        <v>60</v>
      </c>
    </row>
    <row r="372" spans="2:9" collapsed="1" x14ac:dyDescent="0.25">
      <c r="B372" s="74"/>
      <c r="C372" s="74"/>
      <c r="D372" s="85"/>
      <c r="E372" s="75">
        <f>(1+$D$448+$D$449)*SUM(E350:E371)</f>
        <v>3257.8500000000004</v>
      </c>
      <c r="F372" s="94"/>
      <c r="G372" s="76">
        <f>(1+$D$448+$D$449)*SUM(G350:G371)</f>
        <v>2702.8500000000004</v>
      </c>
      <c r="H372" s="97"/>
      <c r="I372" s="77">
        <f>(1+$D$448+$D$449)*SUM(I350:I371)</f>
        <v>2702.8500000000004</v>
      </c>
    </row>
    <row r="373" spans="2:9" x14ac:dyDescent="0.25">
      <c r="D373" s="82"/>
      <c r="E373"/>
      <c r="F373" s="82"/>
      <c r="G373"/>
      <c r="H373" s="82"/>
      <c r="I373"/>
    </row>
    <row r="374" spans="2:9" x14ac:dyDescent="0.25">
      <c r="B374" s="98" t="s">
        <v>388</v>
      </c>
      <c r="C374" s="58"/>
      <c r="H374" s="70"/>
      <c r="I374" s="70"/>
    </row>
    <row r="375" spans="2:9" hidden="1" outlineLevel="1" x14ac:dyDescent="0.25">
      <c r="B375" s="58"/>
      <c r="C375" s="58" t="s">
        <v>418</v>
      </c>
      <c r="E375" s="47">
        <v>25</v>
      </c>
      <c r="G375" s="49">
        <v>25</v>
      </c>
      <c r="H375" s="70"/>
      <c r="I375" s="70">
        <v>20</v>
      </c>
    </row>
    <row r="376" spans="2:9" hidden="1" outlineLevel="1" x14ac:dyDescent="0.25">
      <c r="B376" s="58"/>
      <c r="C376" s="58" t="s">
        <v>419</v>
      </c>
      <c r="E376" s="47">
        <v>15</v>
      </c>
      <c r="G376" s="49">
        <v>15</v>
      </c>
      <c r="H376" s="70"/>
      <c r="I376" s="70">
        <v>12</v>
      </c>
    </row>
    <row r="377" spans="2:9" hidden="1" outlineLevel="1" x14ac:dyDescent="0.25">
      <c r="B377" s="58"/>
      <c r="C377" s="58" t="s">
        <v>420</v>
      </c>
      <c r="E377" s="47">
        <v>40</v>
      </c>
      <c r="G377" s="49">
        <v>40</v>
      </c>
      <c r="H377" s="70"/>
      <c r="I377" s="70">
        <v>30</v>
      </c>
    </row>
    <row r="378" spans="2:9" hidden="1" outlineLevel="1" x14ac:dyDescent="0.25">
      <c r="B378" s="58"/>
      <c r="C378" s="58" t="s">
        <v>421</v>
      </c>
      <c r="E378" s="47">
        <v>30</v>
      </c>
      <c r="G378" s="49">
        <v>30</v>
      </c>
      <c r="H378" s="70"/>
      <c r="I378" s="70">
        <v>20</v>
      </c>
    </row>
    <row r="379" spans="2:9" hidden="1" outlineLevel="1" x14ac:dyDescent="0.25">
      <c r="B379" s="58"/>
      <c r="C379" s="58" t="s">
        <v>408</v>
      </c>
      <c r="E379" s="47">
        <v>30</v>
      </c>
      <c r="G379" s="49">
        <v>30</v>
      </c>
      <c r="H379" s="70"/>
      <c r="I379" s="70">
        <v>20</v>
      </c>
    </row>
    <row r="380" spans="2:9" hidden="1" outlineLevel="1" x14ac:dyDescent="0.25">
      <c r="B380" s="58"/>
      <c r="C380" s="58" t="s">
        <v>422</v>
      </c>
      <c r="E380" s="47">
        <v>60</v>
      </c>
      <c r="G380" s="49">
        <v>60</v>
      </c>
      <c r="H380" s="70"/>
      <c r="I380" s="70">
        <v>50</v>
      </c>
    </row>
    <row r="381" spans="2:9" hidden="1" outlineLevel="1" x14ac:dyDescent="0.25">
      <c r="B381" s="58"/>
      <c r="C381" s="58" t="s">
        <v>424</v>
      </c>
      <c r="E381" s="47">
        <v>20</v>
      </c>
      <c r="G381" s="49">
        <v>20</v>
      </c>
      <c r="H381" s="70"/>
      <c r="I381" s="70">
        <v>15</v>
      </c>
    </row>
    <row r="382" spans="2:9" hidden="1" outlineLevel="1" x14ac:dyDescent="0.25">
      <c r="B382" s="58"/>
      <c r="C382" s="58" t="s">
        <v>425</v>
      </c>
      <c r="E382" s="47">
        <v>30</v>
      </c>
      <c r="G382" s="49">
        <v>30</v>
      </c>
      <c r="H382" s="70"/>
      <c r="I382" s="70">
        <v>20</v>
      </c>
    </row>
    <row r="383" spans="2:9" hidden="1" outlineLevel="1" x14ac:dyDescent="0.25">
      <c r="B383" s="58"/>
      <c r="C383" s="58" t="s">
        <v>427</v>
      </c>
      <c r="E383" s="47">
        <v>40</v>
      </c>
      <c r="G383" s="49">
        <v>40</v>
      </c>
      <c r="H383" s="70"/>
      <c r="I383" s="70">
        <v>30</v>
      </c>
    </row>
    <row r="384" spans="2:9" hidden="1" outlineLevel="1" x14ac:dyDescent="0.25">
      <c r="B384" s="58"/>
      <c r="C384" s="58" t="s">
        <v>428</v>
      </c>
      <c r="E384" s="47">
        <v>20</v>
      </c>
      <c r="G384" s="49">
        <v>20</v>
      </c>
      <c r="H384" s="70"/>
      <c r="I384" s="70">
        <v>15</v>
      </c>
    </row>
    <row r="385" spans="2:9" hidden="1" outlineLevel="1" x14ac:dyDescent="0.25">
      <c r="B385" s="58"/>
      <c r="C385" s="58" t="s">
        <v>389</v>
      </c>
      <c r="E385" s="47">
        <v>90</v>
      </c>
      <c r="G385" s="49">
        <v>60</v>
      </c>
      <c r="H385" s="70"/>
      <c r="I385" s="70">
        <v>50</v>
      </c>
    </row>
    <row r="386" spans="2:9" hidden="1" outlineLevel="1" x14ac:dyDescent="0.25">
      <c r="B386" s="58"/>
      <c r="C386" s="58" t="s">
        <v>423</v>
      </c>
      <c r="E386" s="47">
        <v>10</v>
      </c>
      <c r="G386" s="49">
        <v>10</v>
      </c>
      <c r="H386" s="70"/>
      <c r="I386" s="70">
        <v>5</v>
      </c>
    </row>
    <row r="387" spans="2:9" collapsed="1" x14ac:dyDescent="0.25">
      <c r="B387" s="74"/>
      <c r="C387" s="74"/>
      <c r="D387" s="85"/>
      <c r="E387" s="75">
        <f>(1+$D$448+$D$449)*SUM(E375:E386)</f>
        <v>455.1</v>
      </c>
      <c r="F387" s="94"/>
      <c r="G387" s="76">
        <f>(1+$D$448+$D$449)*SUM(G375:G386)</f>
        <v>421.8</v>
      </c>
      <c r="H387" s="97"/>
      <c r="I387" s="77">
        <f>(1+$D$448+$D$449)*SUM(I375:I386)</f>
        <v>318.57000000000005</v>
      </c>
    </row>
    <row r="388" spans="2:9" x14ac:dyDescent="0.25">
      <c r="B388"/>
      <c r="D388" s="82"/>
      <c r="E388"/>
      <c r="F388" s="82"/>
      <c r="G388"/>
      <c r="H388" s="82"/>
      <c r="I388"/>
    </row>
    <row r="389" spans="2:9" x14ac:dyDescent="0.25">
      <c r="B389" s="59" t="s">
        <v>726</v>
      </c>
      <c r="C389" s="58"/>
      <c r="D389" s="87"/>
      <c r="E389" s="48"/>
      <c r="F389" s="96"/>
      <c r="G389" s="50"/>
      <c r="H389" s="71"/>
      <c r="I389" s="71"/>
    </row>
    <row r="390" spans="2:9" hidden="1" outlineLevel="1" x14ac:dyDescent="0.25">
      <c r="B390" s="58"/>
      <c r="C390" s="58" t="s">
        <v>727</v>
      </c>
      <c r="E390" s="47">
        <v>500</v>
      </c>
      <c r="G390" s="49">
        <v>400</v>
      </c>
      <c r="H390" s="70"/>
      <c r="I390" s="70">
        <v>300</v>
      </c>
    </row>
    <row r="391" spans="2:9" hidden="1" outlineLevel="1" x14ac:dyDescent="0.25">
      <c r="B391" s="58"/>
      <c r="C391" s="58" t="s">
        <v>728</v>
      </c>
      <c r="E391" s="47">
        <v>800</v>
      </c>
      <c r="G391" s="49">
        <v>600</v>
      </c>
      <c r="H391" s="70"/>
      <c r="I391" s="70">
        <v>500</v>
      </c>
    </row>
    <row r="392" spans="2:9" collapsed="1" x14ac:dyDescent="0.25">
      <c r="B392" s="74"/>
      <c r="C392" s="74"/>
      <c r="D392" s="85"/>
      <c r="E392" s="75">
        <f>(1+$D$448+$D$449)*SUM(E390:E391)</f>
        <v>1443.0000000000002</v>
      </c>
      <c r="F392" s="94"/>
      <c r="G392" s="76">
        <f>(1+$D$448+$D$449)*SUM(G390:G391)</f>
        <v>1110</v>
      </c>
      <c r="H392" s="97"/>
      <c r="I392" s="77">
        <f>(1+$D$448+$D$449)*SUM(I390:I391)</f>
        <v>888.00000000000011</v>
      </c>
    </row>
    <row r="393" spans="2:9" x14ac:dyDescent="0.25">
      <c r="D393" s="82"/>
      <c r="E393"/>
      <c r="F393" s="82"/>
      <c r="G393"/>
      <c r="H393" s="82"/>
      <c r="I393"/>
    </row>
    <row r="394" spans="2:9" x14ac:dyDescent="0.25">
      <c r="B394" s="59" t="s">
        <v>149</v>
      </c>
      <c r="C394" s="58"/>
      <c r="D394" s="87"/>
      <c r="E394" s="48"/>
      <c r="F394" s="96"/>
      <c r="G394" s="50"/>
      <c r="H394" s="71"/>
      <c r="I394" s="71"/>
    </row>
    <row r="395" spans="2:9" hidden="1" outlineLevel="1" x14ac:dyDescent="0.25">
      <c r="B395" s="58"/>
      <c r="C395" s="58" t="s">
        <v>157</v>
      </c>
      <c r="E395" s="47">
        <v>20</v>
      </c>
      <c r="G395" s="49">
        <v>10</v>
      </c>
      <c r="H395" s="70"/>
      <c r="I395" s="70">
        <v>10</v>
      </c>
    </row>
    <row r="396" spans="2:9" hidden="1" outlineLevel="1" x14ac:dyDescent="0.25">
      <c r="B396" s="58"/>
      <c r="C396" s="58" t="s">
        <v>160</v>
      </c>
      <c r="E396" s="47">
        <v>50</v>
      </c>
      <c r="G396" s="49">
        <v>30</v>
      </c>
      <c r="H396" s="70"/>
      <c r="I396" s="70">
        <v>30</v>
      </c>
    </row>
    <row r="397" spans="2:9" hidden="1" outlineLevel="1" x14ac:dyDescent="0.25">
      <c r="B397" s="58"/>
      <c r="C397" s="58" t="s">
        <v>163</v>
      </c>
      <c r="E397" s="47">
        <v>50</v>
      </c>
      <c r="G397" s="49">
        <v>30</v>
      </c>
      <c r="H397" s="70"/>
      <c r="I397" s="70">
        <v>30</v>
      </c>
    </row>
    <row r="398" spans="2:9" hidden="1" outlineLevel="1" x14ac:dyDescent="0.25">
      <c r="B398" s="58"/>
      <c r="C398" s="58" t="s">
        <v>293</v>
      </c>
      <c r="E398" s="47">
        <v>15</v>
      </c>
      <c r="G398" s="49">
        <v>15</v>
      </c>
      <c r="H398" s="70"/>
      <c r="I398" s="70">
        <v>15</v>
      </c>
    </row>
    <row r="399" spans="2:9" hidden="1" outlineLevel="1" x14ac:dyDescent="0.25">
      <c r="B399" s="58"/>
      <c r="C399" s="58" t="s">
        <v>171</v>
      </c>
      <c r="E399" s="47">
        <v>50</v>
      </c>
      <c r="G399" s="49">
        <v>30</v>
      </c>
      <c r="H399" s="70"/>
      <c r="I399" s="70">
        <v>30</v>
      </c>
    </row>
    <row r="400" spans="2:9" hidden="1" outlineLevel="1" x14ac:dyDescent="0.25">
      <c r="B400" s="58"/>
      <c r="C400" s="58" t="s">
        <v>168</v>
      </c>
      <c r="E400" s="47">
        <v>50</v>
      </c>
      <c r="G400" s="49">
        <v>30</v>
      </c>
      <c r="H400" s="70"/>
      <c r="I400" s="70">
        <v>30</v>
      </c>
    </row>
    <row r="401" spans="2:9" hidden="1" outlineLevel="1" x14ac:dyDescent="0.25">
      <c r="B401" s="58"/>
      <c r="C401" s="58" t="s">
        <v>169</v>
      </c>
      <c r="E401" s="47">
        <v>100</v>
      </c>
      <c r="G401" s="49">
        <v>50</v>
      </c>
      <c r="H401" s="70"/>
      <c r="I401" s="70">
        <v>50</v>
      </c>
    </row>
    <row r="402" spans="2:9" hidden="1" outlineLevel="1" x14ac:dyDescent="0.25">
      <c r="B402" s="58"/>
      <c r="C402" s="58" t="s">
        <v>189</v>
      </c>
      <c r="E402" s="47">
        <v>40</v>
      </c>
      <c r="G402" s="49">
        <v>30</v>
      </c>
      <c r="H402" s="70"/>
      <c r="I402" s="70">
        <v>30</v>
      </c>
    </row>
    <row r="403" spans="2:9" hidden="1" outlineLevel="1" x14ac:dyDescent="0.25">
      <c r="B403" s="58"/>
      <c r="C403" s="58" t="s">
        <v>272</v>
      </c>
      <c r="E403" s="47">
        <v>30</v>
      </c>
      <c r="G403" s="49">
        <v>20</v>
      </c>
      <c r="H403" s="70"/>
      <c r="I403" s="70">
        <v>20</v>
      </c>
    </row>
    <row r="404" spans="2:9" hidden="1" outlineLevel="1" x14ac:dyDescent="0.25">
      <c r="B404" s="58"/>
      <c r="C404" s="58" t="s">
        <v>180</v>
      </c>
      <c r="E404" s="47">
        <v>20</v>
      </c>
      <c r="G404" s="49">
        <v>10</v>
      </c>
      <c r="H404" s="70"/>
      <c r="I404" s="70">
        <v>10</v>
      </c>
    </row>
    <row r="405" spans="2:9" hidden="1" outlineLevel="1" x14ac:dyDescent="0.25">
      <c r="B405" s="58"/>
      <c r="C405" s="58" t="s">
        <v>181</v>
      </c>
      <c r="E405" s="47">
        <v>15</v>
      </c>
      <c r="G405" s="49">
        <v>15</v>
      </c>
      <c r="H405" s="70"/>
      <c r="I405" s="70">
        <v>0</v>
      </c>
    </row>
    <row r="406" spans="2:9" hidden="1" outlineLevel="1" x14ac:dyDescent="0.25">
      <c r="B406" s="58"/>
      <c r="C406" s="58" t="s">
        <v>239</v>
      </c>
      <c r="E406" s="47">
        <v>30</v>
      </c>
      <c r="G406" s="49">
        <v>20</v>
      </c>
      <c r="H406" s="70"/>
      <c r="I406" s="70">
        <v>20</v>
      </c>
    </row>
    <row r="407" spans="2:9" hidden="1" outlineLevel="1" x14ac:dyDescent="0.25">
      <c r="B407" s="58"/>
      <c r="C407" s="58" t="s">
        <v>271</v>
      </c>
      <c r="E407" s="47">
        <v>25</v>
      </c>
      <c r="G407" s="49">
        <v>25</v>
      </c>
      <c r="H407" s="70"/>
      <c r="I407" s="70">
        <v>25</v>
      </c>
    </row>
    <row r="408" spans="2:9" hidden="1" outlineLevel="1" x14ac:dyDescent="0.25">
      <c r="B408" s="58"/>
      <c r="C408" s="58" t="s">
        <v>288</v>
      </c>
      <c r="E408" s="47">
        <v>50</v>
      </c>
      <c r="G408" s="49">
        <v>30</v>
      </c>
      <c r="H408" s="70"/>
      <c r="I408" s="70">
        <v>30</v>
      </c>
    </row>
    <row r="409" spans="2:9" hidden="1" outlineLevel="1" x14ac:dyDescent="0.25">
      <c r="B409" s="58"/>
      <c r="C409" s="58" t="s">
        <v>287</v>
      </c>
      <c r="E409" s="47">
        <v>30</v>
      </c>
      <c r="G409" s="49">
        <v>20</v>
      </c>
      <c r="H409" s="70"/>
      <c r="I409" s="70">
        <v>20</v>
      </c>
    </row>
    <row r="410" spans="2:9" collapsed="1" x14ac:dyDescent="0.25">
      <c r="B410" s="74"/>
      <c r="C410" s="74"/>
      <c r="D410" s="85"/>
      <c r="E410" s="75">
        <f>(1+$D$448+$D$449)*SUM(E395:E409)</f>
        <v>638.25</v>
      </c>
      <c r="F410" s="94"/>
      <c r="G410" s="76">
        <f>(1+$D$448+$D$449)*SUM(G395:G409)</f>
        <v>405.15000000000003</v>
      </c>
      <c r="H410" s="97"/>
      <c r="I410" s="77">
        <f>(1+$D$448+$D$449)*SUM(I395:I409)</f>
        <v>388.50000000000006</v>
      </c>
    </row>
    <row r="411" spans="2:9" x14ac:dyDescent="0.25">
      <c r="D411" s="82"/>
      <c r="E411"/>
      <c r="F411" s="82"/>
      <c r="G411"/>
      <c r="H411" s="82"/>
      <c r="I411"/>
    </row>
    <row r="412" spans="2:9" x14ac:dyDescent="0.25">
      <c r="B412" s="64" t="s">
        <v>372</v>
      </c>
      <c r="C412" s="66"/>
      <c r="D412" s="65"/>
      <c r="E412" s="65"/>
      <c r="F412" s="65"/>
      <c r="G412" s="65"/>
      <c r="H412" s="65"/>
      <c r="I412" s="65"/>
    </row>
    <row r="413" spans="2:9" x14ac:dyDescent="0.25">
      <c r="D413" s="82"/>
      <c r="E413"/>
      <c r="F413" s="82"/>
      <c r="G413"/>
      <c r="H413" s="82"/>
      <c r="I413"/>
    </row>
    <row r="414" spans="2:9" x14ac:dyDescent="0.25">
      <c r="B414" s="59" t="s">
        <v>790</v>
      </c>
      <c r="C414" s="58"/>
      <c r="H414" s="70"/>
      <c r="I414" s="70"/>
    </row>
    <row r="415" spans="2:9" outlineLevel="1" x14ac:dyDescent="0.25">
      <c r="B415" s="58"/>
      <c r="C415" s="58" t="s">
        <v>116</v>
      </c>
      <c r="E415" s="47">
        <v>2000</v>
      </c>
      <c r="G415" s="49">
        <v>1800</v>
      </c>
      <c r="H415" s="70"/>
      <c r="I415" s="70">
        <v>1500</v>
      </c>
    </row>
    <row r="416" spans="2:9" outlineLevel="1" x14ac:dyDescent="0.25">
      <c r="B416" s="58"/>
      <c r="C416" s="58" t="s">
        <v>117</v>
      </c>
      <c r="E416" s="47">
        <v>800</v>
      </c>
      <c r="G416" s="49">
        <v>700</v>
      </c>
      <c r="H416" s="70"/>
      <c r="I416" s="70">
        <v>600</v>
      </c>
    </row>
    <row r="417" spans="2:9" outlineLevel="1" x14ac:dyDescent="0.25">
      <c r="B417" s="58"/>
      <c r="C417" s="58" t="s">
        <v>118</v>
      </c>
      <c r="E417" s="47">
        <v>300</v>
      </c>
      <c r="G417" s="49">
        <v>200</v>
      </c>
      <c r="H417" s="70"/>
      <c r="I417" s="70">
        <v>200</v>
      </c>
    </row>
    <row r="418" spans="2:9" x14ac:dyDescent="0.25">
      <c r="B418" s="74"/>
      <c r="C418" s="74"/>
      <c r="D418" s="85"/>
      <c r="E418" s="75">
        <f>(1+$D$448+$D$449)*SUM(E415:E417)</f>
        <v>3441.0000000000005</v>
      </c>
      <c r="F418" s="94"/>
      <c r="G418" s="76">
        <f>(1+$D$448+$D$449)*SUM(G415:G417)</f>
        <v>2997.0000000000005</v>
      </c>
      <c r="H418" s="97"/>
      <c r="I418" s="77">
        <f>(1+$D$448+$D$449)*SUM(I415:I417)</f>
        <v>2553</v>
      </c>
    </row>
    <row r="419" spans="2:9" x14ac:dyDescent="0.25">
      <c r="D419" s="82"/>
      <c r="E419"/>
      <c r="F419" s="82"/>
      <c r="G419"/>
      <c r="H419" s="82"/>
      <c r="I419"/>
    </row>
    <row r="420" spans="2:9" x14ac:dyDescent="0.25">
      <c r="B420" s="59" t="s">
        <v>53</v>
      </c>
      <c r="C420" s="58"/>
      <c r="H420" s="70"/>
      <c r="I420" s="70"/>
    </row>
    <row r="421" spans="2:9" outlineLevel="1" x14ac:dyDescent="0.25">
      <c r="B421" s="58"/>
      <c r="C421" s="58" t="s">
        <v>116</v>
      </c>
      <c r="E421" s="47">
        <v>800</v>
      </c>
      <c r="G421" s="49">
        <v>600</v>
      </c>
      <c r="H421" s="70"/>
      <c r="I421" s="70">
        <v>400</v>
      </c>
    </row>
    <row r="422" spans="2:9" outlineLevel="1" x14ac:dyDescent="0.25">
      <c r="B422" s="58"/>
      <c r="C422" s="58" t="s">
        <v>791</v>
      </c>
      <c r="E422" s="47">
        <v>300</v>
      </c>
      <c r="G422" s="49">
        <v>200</v>
      </c>
      <c r="H422" s="70"/>
      <c r="I422" s="70">
        <v>100</v>
      </c>
    </row>
    <row r="423" spans="2:9" outlineLevel="1" x14ac:dyDescent="0.25">
      <c r="B423" s="58"/>
      <c r="C423" s="58" t="s">
        <v>118</v>
      </c>
      <c r="E423" s="47">
        <v>150</v>
      </c>
      <c r="G423" s="49">
        <v>100</v>
      </c>
      <c r="H423" s="70"/>
      <c r="I423" s="70">
        <v>50</v>
      </c>
    </row>
    <row r="424" spans="2:9" x14ac:dyDescent="0.25">
      <c r="B424" s="74"/>
      <c r="C424" s="74"/>
      <c r="D424" s="85"/>
      <c r="E424" s="75">
        <f>(1+$D$448+$D$449)*SUM(E421:E423)</f>
        <v>1387.5000000000002</v>
      </c>
      <c r="F424" s="94"/>
      <c r="G424" s="76">
        <f>(1+$D$448+$D$449)*SUM(G421:G423)</f>
        <v>999.00000000000011</v>
      </c>
      <c r="H424" s="97"/>
      <c r="I424" s="77">
        <f>(1+$D$448+$D$449)*SUM(I421:I423)</f>
        <v>610.5</v>
      </c>
    </row>
    <row r="425" spans="2:9" x14ac:dyDescent="0.25">
      <c r="D425" s="82"/>
      <c r="E425"/>
      <c r="F425" s="82"/>
      <c r="G425"/>
      <c r="H425" s="82"/>
      <c r="I425"/>
    </row>
    <row r="426" spans="2:9" x14ac:dyDescent="0.25">
      <c r="B426" s="59" t="s">
        <v>325</v>
      </c>
      <c r="C426" s="58"/>
      <c r="H426" s="70"/>
      <c r="I426" s="70"/>
    </row>
    <row r="427" spans="2:9" hidden="1" outlineLevel="1" x14ac:dyDescent="0.25">
      <c r="B427" s="58"/>
      <c r="C427" s="58" t="s">
        <v>150</v>
      </c>
      <c r="E427" s="47">
        <v>140</v>
      </c>
      <c r="G427" s="49">
        <v>100</v>
      </c>
      <c r="H427" s="70"/>
      <c r="I427" s="70">
        <v>100</v>
      </c>
    </row>
    <row r="428" spans="2:9" hidden="1" outlineLevel="1" x14ac:dyDescent="0.25">
      <c r="B428" s="58"/>
      <c r="C428" s="58" t="s">
        <v>136</v>
      </c>
      <c r="E428" s="47">
        <v>100</v>
      </c>
      <c r="G428" s="49">
        <v>70</v>
      </c>
      <c r="H428" s="70"/>
      <c r="I428" s="70">
        <v>70</v>
      </c>
    </row>
    <row r="429" spans="2:9" hidden="1" outlineLevel="1" x14ac:dyDescent="0.25">
      <c r="B429" s="58"/>
      <c r="C429" s="58" t="s">
        <v>134</v>
      </c>
      <c r="E429" s="47">
        <v>200</v>
      </c>
      <c r="G429" s="49">
        <v>150</v>
      </c>
      <c r="H429" s="70"/>
      <c r="I429" s="70">
        <v>150</v>
      </c>
    </row>
    <row r="430" spans="2:9" hidden="1" outlineLevel="1" x14ac:dyDescent="0.25">
      <c r="B430" s="58"/>
      <c r="C430" s="58" t="s">
        <v>326</v>
      </c>
      <c r="E430" s="47">
        <v>200</v>
      </c>
      <c r="G430" s="49">
        <v>150</v>
      </c>
      <c r="H430" s="70"/>
      <c r="I430" s="70">
        <v>150</v>
      </c>
    </row>
    <row r="431" spans="2:9" collapsed="1" x14ac:dyDescent="0.25">
      <c r="B431" s="74"/>
      <c r="C431" s="74"/>
      <c r="D431" s="85"/>
      <c r="E431" s="75">
        <f>(1+$D$448+$D$449)*SUM(E427:E430)</f>
        <v>710.40000000000009</v>
      </c>
      <c r="F431" s="94"/>
      <c r="G431" s="76">
        <f>(1+$D$448+$D$449)*SUM(G427:G430)</f>
        <v>521.70000000000005</v>
      </c>
      <c r="H431" s="97"/>
      <c r="I431" s="77">
        <f>(1+$D$448+$D$449)*SUM(I427:I430)</f>
        <v>521.70000000000005</v>
      </c>
    </row>
    <row r="432" spans="2:9" x14ac:dyDescent="0.25">
      <c r="D432" s="82"/>
      <c r="E432"/>
      <c r="F432" s="82"/>
      <c r="G432"/>
      <c r="H432" s="82"/>
      <c r="I432"/>
    </row>
    <row r="433" spans="2:9" x14ac:dyDescent="0.25">
      <c r="B433" s="59" t="s">
        <v>192</v>
      </c>
      <c r="C433" s="58"/>
      <c r="H433" s="70"/>
      <c r="I433" s="70"/>
    </row>
    <row r="434" spans="2:9" hidden="1" outlineLevel="1" x14ac:dyDescent="0.25">
      <c r="B434" s="59"/>
      <c r="C434" s="58" t="s">
        <v>333</v>
      </c>
      <c r="D434" s="83" t="s">
        <v>322</v>
      </c>
      <c r="E434" s="47">
        <v>350</v>
      </c>
      <c r="F434" s="92" t="s">
        <v>323</v>
      </c>
      <c r="G434" s="49">
        <v>200</v>
      </c>
      <c r="H434" s="70" t="s">
        <v>323</v>
      </c>
      <c r="I434" s="70">
        <v>200</v>
      </c>
    </row>
    <row r="435" spans="2:9" hidden="1" outlineLevel="1" x14ac:dyDescent="0.25">
      <c r="B435" s="58"/>
      <c r="C435" s="58" t="s">
        <v>305</v>
      </c>
      <c r="E435" s="47">
        <v>50</v>
      </c>
      <c r="G435" s="49">
        <v>50</v>
      </c>
      <c r="H435" s="70"/>
      <c r="I435" s="70">
        <v>50</v>
      </c>
    </row>
    <row r="436" spans="2:9" collapsed="1" x14ac:dyDescent="0.25">
      <c r="B436" s="74"/>
      <c r="C436" s="74"/>
      <c r="D436" s="85"/>
      <c r="E436" s="75">
        <f>(1+$D$448+$D$449)*SUM(E433:E435)</f>
        <v>444.00000000000006</v>
      </c>
      <c r="F436" s="94"/>
      <c r="G436" s="76">
        <f>(1+$D$448+$D$449)*SUM(G433:G435)</f>
        <v>277.5</v>
      </c>
      <c r="H436" s="97"/>
      <c r="I436" s="77">
        <f>(1+$D$448+$D$449)*SUM(I433:I435)</f>
        <v>277.5</v>
      </c>
    </row>
    <row r="437" spans="2:9" x14ac:dyDescent="0.25">
      <c r="B437"/>
      <c r="D437" s="82"/>
      <c r="E437"/>
      <c r="F437" s="82"/>
      <c r="G437"/>
      <c r="H437" s="82"/>
      <c r="I437"/>
    </row>
    <row r="438" spans="2:9" x14ac:dyDescent="0.25">
      <c r="B438" s="64" t="s">
        <v>732</v>
      </c>
      <c r="C438" s="66"/>
      <c r="D438" s="65"/>
      <c r="E438" s="65"/>
      <c r="F438" s="65"/>
      <c r="G438" s="65"/>
      <c r="H438" s="65"/>
      <c r="I438" s="65"/>
    </row>
    <row r="439" spans="2:9" x14ac:dyDescent="0.25">
      <c r="D439" s="82"/>
      <c r="E439"/>
      <c r="F439" s="82"/>
      <c r="G439"/>
      <c r="H439" s="82"/>
      <c r="I439"/>
    </row>
    <row r="440" spans="2:9" x14ac:dyDescent="0.25">
      <c r="B440" s="59" t="s">
        <v>741</v>
      </c>
      <c r="C440" s="58"/>
      <c r="H440" s="70"/>
      <c r="I440" s="70"/>
    </row>
    <row r="441" spans="2:9" outlineLevel="1" x14ac:dyDescent="0.25">
      <c r="B441" s="59"/>
      <c r="C441" s="58" t="s">
        <v>191</v>
      </c>
      <c r="E441" s="47">
        <v>300</v>
      </c>
      <c r="G441" s="49">
        <v>200</v>
      </c>
      <c r="H441" s="70"/>
      <c r="I441" s="70">
        <v>100</v>
      </c>
    </row>
    <row r="442" spans="2:9" outlineLevel="1" x14ac:dyDescent="0.25">
      <c r="B442" s="58"/>
      <c r="C442" s="58" t="s">
        <v>736</v>
      </c>
      <c r="D442" s="83" t="s">
        <v>439</v>
      </c>
      <c r="E442" s="47">
        <v>1600</v>
      </c>
      <c r="F442" s="92" t="s">
        <v>439</v>
      </c>
      <c r="G442" s="49">
        <v>1200</v>
      </c>
      <c r="H442" s="70" t="s">
        <v>438</v>
      </c>
      <c r="I442" s="70">
        <v>500</v>
      </c>
    </row>
    <row r="443" spans="2:9" outlineLevel="1" x14ac:dyDescent="0.25">
      <c r="B443" s="58"/>
      <c r="C443" s="58" t="s">
        <v>738</v>
      </c>
      <c r="D443" s="83" t="s">
        <v>739</v>
      </c>
      <c r="E443" s="47">
        <v>200</v>
      </c>
      <c r="F443" s="92" t="s">
        <v>739</v>
      </c>
      <c r="G443" s="49">
        <v>150</v>
      </c>
      <c r="H443" s="70" t="s">
        <v>740</v>
      </c>
      <c r="I443" s="70">
        <v>50</v>
      </c>
    </row>
    <row r="444" spans="2:9" outlineLevel="1" x14ac:dyDescent="0.25">
      <c r="B444" s="58"/>
      <c r="C444" s="58" t="s">
        <v>737</v>
      </c>
      <c r="D444" s="83" t="s">
        <v>733</v>
      </c>
      <c r="E444" s="47">
        <v>500</v>
      </c>
      <c r="F444" s="92" t="s">
        <v>735</v>
      </c>
      <c r="G444" s="49">
        <v>450</v>
      </c>
      <c r="H444" s="70" t="s">
        <v>734</v>
      </c>
      <c r="I444" s="70">
        <v>300</v>
      </c>
    </row>
    <row r="445" spans="2:9" x14ac:dyDescent="0.25">
      <c r="B445" s="74"/>
      <c r="C445" s="74"/>
      <c r="D445" s="85"/>
      <c r="E445" s="75">
        <f>(1+$D$448+$D$449)*SUM(E440:E444)</f>
        <v>2886.0000000000005</v>
      </c>
      <c r="F445" s="94"/>
      <c r="G445" s="76">
        <f>(1+$D$448+$D$449)*SUM(G440:G444)</f>
        <v>2220</v>
      </c>
      <c r="H445" s="97"/>
      <c r="I445" s="77">
        <f>(1+$D$448+$D$449)*SUM(I440:I444)</f>
        <v>1054.5</v>
      </c>
    </row>
    <row r="446" spans="2:9" ht="15.75" thickBot="1" x14ac:dyDescent="0.3">
      <c r="B446" s="67"/>
      <c r="C446" s="67"/>
      <c r="D446" s="82"/>
      <c r="E446"/>
      <c r="F446" s="82"/>
      <c r="G446"/>
      <c r="H446" s="82"/>
      <c r="I446"/>
    </row>
    <row r="447" spans="2:9" x14ac:dyDescent="0.25">
      <c r="B447" s="69"/>
      <c r="C447" s="69"/>
      <c r="D447" s="88"/>
      <c r="E447" s="53"/>
      <c r="F447" s="88"/>
      <c r="G447" s="53"/>
      <c r="H447" s="88"/>
      <c r="I447" s="53"/>
    </row>
    <row r="448" spans="2:9" x14ac:dyDescent="0.25">
      <c r="B448" s="56" t="s">
        <v>120</v>
      </c>
      <c r="D448" s="89">
        <v>0.06</v>
      </c>
      <c r="E448"/>
      <c r="F448" s="82"/>
      <c r="G448"/>
      <c r="H448" s="82"/>
      <c r="I448"/>
    </row>
    <row r="449" spans="2:9" x14ac:dyDescent="0.25">
      <c r="B449" s="56" t="s">
        <v>121</v>
      </c>
      <c r="D449" s="89">
        <v>0.05</v>
      </c>
      <c r="E449"/>
      <c r="F449" s="82"/>
      <c r="G449"/>
      <c r="H449" s="82"/>
      <c r="I449"/>
    </row>
    <row r="450" spans="2:9" ht="15.75" thickBot="1" x14ac:dyDescent="0.3">
      <c r="B450" s="54"/>
      <c r="C450" s="54"/>
      <c r="D450" s="90"/>
      <c r="E450" s="54"/>
      <c r="F450" s="90"/>
      <c r="G450" s="54"/>
      <c r="H450" s="90"/>
      <c r="I450" s="54"/>
    </row>
    <row r="451" spans="2:9" x14ac:dyDescent="0.25">
      <c r="B451" s="68"/>
      <c r="C451" s="68"/>
      <c r="D451" s="82"/>
      <c r="E451"/>
      <c r="F451" s="82"/>
      <c r="G451"/>
      <c r="H451" s="82"/>
      <c r="I451"/>
    </row>
    <row r="452" spans="2:9" x14ac:dyDescent="0.25">
      <c r="D452" s="82"/>
      <c r="E452"/>
      <c r="F452" s="82"/>
      <c r="G452"/>
      <c r="H452" s="82"/>
      <c r="I452"/>
    </row>
    <row r="453" spans="2:9" x14ac:dyDescent="0.25">
      <c r="D453" s="82"/>
      <c r="E453"/>
      <c r="F453" s="82"/>
      <c r="G453"/>
      <c r="H453" s="82"/>
      <c r="I453"/>
    </row>
    <row r="454" spans="2:9" x14ac:dyDescent="0.25">
      <c r="D454" s="82"/>
      <c r="E454"/>
      <c r="F454" s="82"/>
      <c r="G454"/>
      <c r="H454" s="82"/>
      <c r="I454"/>
    </row>
    <row r="455" spans="2:9" x14ac:dyDescent="0.25">
      <c r="D455" s="82"/>
      <c r="E455"/>
      <c r="F455" s="82"/>
      <c r="G455"/>
      <c r="H455" s="82"/>
      <c r="I455"/>
    </row>
    <row r="456" spans="2:9" x14ac:dyDescent="0.25">
      <c r="D456" s="82"/>
      <c r="E456"/>
      <c r="F456" s="82"/>
      <c r="G456"/>
      <c r="H456" s="82"/>
      <c r="I456"/>
    </row>
    <row r="457" spans="2:9" x14ac:dyDescent="0.25">
      <c r="D457" s="82"/>
      <c r="E457"/>
      <c r="F457" s="82"/>
      <c r="G457"/>
      <c r="H457" s="82"/>
      <c r="I457"/>
    </row>
    <row r="458" spans="2:9" x14ac:dyDescent="0.25">
      <c r="D458" s="82"/>
      <c r="E458"/>
      <c r="F458" s="82"/>
      <c r="G458"/>
      <c r="H458" s="82"/>
      <c r="I458"/>
    </row>
    <row r="459" spans="2:9" x14ac:dyDescent="0.25">
      <c r="D459" s="82"/>
      <c r="E459"/>
      <c r="F459" s="82"/>
      <c r="G459"/>
      <c r="H459" s="82"/>
      <c r="I459"/>
    </row>
    <row r="460" spans="2:9" x14ac:dyDescent="0.25">
      <c r="D460" s="82"/>
      <c r="E460"/>
      <c r="F460" s="82"/>
      <c r="G460"/>
      <c r="H460" s="82"/>
      <c r="I460"/>
    </row>
    <row r="461" spans="2:9" x14ac:dyDescent="0.25">
      <c r="D461" s="82"/>
      <c r="E461"/>
      <c r="F461" s="82"/>
      <c r="G461"/>
      <c r="H461" s="82"/>
      <c r="I461"/>
    </row>
    <row r="462" spans="2:9" x14ac:dyDescent="0.25">
      <c r="D462" s="82"/>
      <c r="E462"/>
      <c r="F462" s="82"/>
      <c r="G462"/>
      <c r="H462" s="82"/>
      <c r="I462"/>
    </row>
    <row r="463" spans="2:9" x14ac:dyDescent="0.25">
      <c r="D463" s="82"/>
      <c r="E463"/>
      <c r="F463" s="82"/>
      <c r="G463"/>
      <c r="H463" s="82"/>
      <c r="I463"/>
    </row>
    <row r="464" spans="2:9" x14ac:dyDescent="0.25">
      <c r="D464" s="82"/>
      <c r="E464"/>
      <c r="F464" s="82"/>
      <c r="G464"/>
      <c r="H464" s="82"/>
      <c r="I464"/>
    </row>
    <row r="465" spans="4:9" x14ac:dyDescent="0.25">
      <c r="D465" s="82"/>
      <c r="E465"/>
      <c r="F465" s="82"/>
      <c r="G465"/>
      <c r="H465" s="82"/>
      <c r="I465"/>
    </row>
    <row r="466" spans="4:9" x14ac:dyDescent="0.25">
      <c r="D466" s="82"/>
      <c r="E466"/>
      <c r="F466" s="82"/>
      <c r="G466"/>
      <c r="H466" s="82"/>
      <c r="I466"/>
    </row>
    <row r="467" spans="4:9" x14ac:dyDescent="0.25">
      <c r="D467" s="82"/>
      <c r="E467"/>
      <c r="F467" s="82"/>
      <c r="G467"/>
      <c r="H467" s="82"/>
      <c r="I467"/>
    </row>
    <row r="468" spans="4:9" x14ac:dyDescent="0.25">
      <c r="D468" s="82"/>
      <c r="E468"/>
      <c r="F468" s="82"/>
      <c r="G468"/>
      <c r="H468" s="82"/>
      <c r="I468"/>
    </row>
    <row r="469" spans="4:9" x14ac:dyDescent="0.25">
      <c r="D469" s="82"/>
      <c r="E469"/>
      <c r="F469" s="82"/>
      <c r="G469"/>
      <c r="H469" s="82"/>
      <c r="I469"/>
    </row>
    <row r="470" spans="4:9" x14ac:dyDescent="0.25">
      <c r="D470" s="82"/>
      <c r="E470"/>
      <c r="F470" s="82"/>
      <c r="G470"/>
      <c r="H470" s="82"/>
      <c r="I470"/>
    </row>
    <row r="471" spans="4:9" x14ac:dyDescent="0.25">
      <c r="D471" s="82"/>
      <c r="E471"/>
      <c r="F471" s="82"/>
      <c r="G471"/>
      <c r="H471" s="82"/>
      <c r="I471"/>
    </row>
    <row r="472" spans="4:9" x14ac:dyDescent="0.25">
      <c r="D472" s="82"/>
      <c r="E472"/>
      <c r="F472" s="82"/>
      <c r="G472"/>
      <c r="H472" s="82"/>
      <c r="I472"/>
    </row>
    <row r="473" spans="4:9" x14ac:dyDescent="0.25">
      <c r="D473" s="82"/>
      <c r="E473"/>
      <c r="F473" s="82"/>
      <c r="G473"/>
      <c r="H473" s="82"/>
      <c r="I473"/>
    </row>
    <row r="474" spans="4:9" x14ac:dyDescent="0.25">
      <c r="D474" s="82"/>
      <c r="E474"/>
      <c r="F474" s="82"/>
      <c r="G474"/>
      <c r="H474" s="82"/>
      <c r="I474"/>
    </row>
    <row r="475" spans="4:9" x14ac:dyDescent="0.25">
      <c r="D475" s="82"/>
      <c r="E475"/>
      <c r="F475" s="82"/>
      <c r="G475"/>
      <c r="H475" s="82"/>
      <c r="I475"/>
    </row>
    <row r="476" spans="4:9" x14ac:dyDescent="0.25">
      <c r="D476" s="82"/>
      <c r="E476"/>
      <c r="F476" s="82"/>
      <c r="G476"/>
      <c r="H476" s="82"/>
      <c r="I476"/>
    </row>
    <row r="477" spans="4:9" x14ac:dyDescent="0.25">
      <c r="D477" s="82"/>
      <c r="E477"/>
      <c r="F477" s="82"/>
      <c r="G477"/>
      <c r="H477" s="82"/>
      <c r="I477"/>
    </row>
    <row r="478" spans="4:9" x14ac:dyDescent="0.25">
      <c r="D478" s="82"/>
      <c r="E478"/>
      <c r="F478" s="82"/>
      <c r="G478"/>
      <c r="H478" s="82"/>
      <c r="I478"/>
    </row>
    <row r="479" spans="4:9" x14ac:dyDescent="0.25">
      <c r="D479" s="82"/>
      <c r="E479"/>
      <c r="F479" s="82"/>
      <c r="G479"/>
      <c r="H479" s="82"/>
      <c r="I479"/>
    </row>
    <row r="480" spans="4:9" x14ac:dyDescent="0.25">
      <c r="D480" s="82"/>
      <c r="E480"/>
      <c r="F480" s="82"/>
      <c r="G480"/>
      <c r="H480" s="82"/>
      <c r="I480"/>
    </row>
    <row r="481" spans="4:9" x14ac:dyDescent="0.25">
      <c r="D481" s="82"/>
      <c r="E481"/>
      <c r="F481" s="82"/>
      <c r="G481"/>
      <c r="H481" s="82"/>
      <c r="I481"/>
    </row>
    <row r="482" spans="4:9" x14ac:dyDescent="0.25">
      <c r="D482" s="82"/>
      <c r="E482"/>
      <c r="F482" s="82"/>
      <c r="G482"/>
      <c r="H482" s="82"/>
      <c r="I482"/>
    </row>
    <row r="483" spans="4:9" x14ac:dyDescent="0.25">
      <c r="D483" s="82"/>
      <c r="E483"/>
      <c r="F483" s="82"/>
      <c r="G483"/>
      <c r="H483" s="82"/>
      <c r="I483"/>
    </row>
    <row r="484" spans="4:9" x14ac:dyDescent="0.25">
      <c r="D484" s="82"/>
      <c r="E484"/>
      <c r="F484" s="82"/>
      <c r="G484"/>
      <c r="H484" s="82"/>
      <c r="I484"/>
    </row>
    <row r="485" spans="4:9" x14ac:dyDescent="0.25">
      <c r="D485" s="82"/>
      <c r="E485"/>
      <c r="F485" s="82"/>
      <c r="G485"/>
      <c r="H485" s="82"/>
      <c r="I485"/>
    </row>
    <row r="486" spans="4:9" x14ac:dyDescent="0.25">
      <c r="D486" s="82"/>
      <c r="E486"/>
      <c r="F486" s="82"/>
      <c r="G486"/>
      <c r="H486" s="82"/>
      <c r="I486"/>
    </row>
    <row r="487" spans="4:9" x14ac:dyDescent="0.25">
      <c r="D487" s="82"/>
      <c r="E487"/>
      <c r="F487" s="82"/>
      <c r="G487"/>
      <c r="H487" s="82"/>
      <c r="I487"/>
    </row>
    <row r="488" spans="4:9" x14ac:dyDescent="0.25">
      <c r="D488" s="82"/>
      <c r="E488"/>
      <c r="F488" s="82"/>
      <c r="G488"/>
      <c r="H488" s="82"/>
      <c r="I488"/>
    </row>
    <row r="489" spans="4:9" x14ac:dyDescent="0.25">
      <c r="D489" s="82"/>
      <c r="E489"/>
      <c r="F489" s="82"/>
      <c r="G489"/>
      <c r="H489" s="82"/>
      <c r="I489"/>
    </row>
    <row r="490" spans="4:9" x14ac:dyDescent="0.25">
      <c r="D490" s="82"/>
      <c r="E490"/>
      <c r="F490" s="82"/>
      <c r="G490"/>
      <c r="H490" s="82"/>
      <c r="I490"/>
    </row>
    <row r="491" spans="4:9" x14ac:dyDescent="0.25">
      <c r="D491" s="82"/>
      <c r="E491"/>
      <c r="F491" s="82"/>
      <c r="G491"/>
      <c r="H491" s="82"/>
      <c r="I491"/>
    </row>
    <row r="492" spans="4:9" x14ac:dyDescent="0.25">
      <c r="D492" s="82"/>
      <c r="E492"/>
      <c r="F492" s="82"/>
      <c r="G492"/>
      <c r="H492" s="82"/>
      <c r="I492"/>
    </row>
    <row r="493" spans="4:9" x14ac:dyDescent="0.25">
      <c r="D493" s="82"/>
      <c r="E493"/>
      <c r="F493" s="82"/>
      <c r="G493"/>
      <c r="H493" s="82"/>
      <c r="I493"/>
    </row>
    <row r="494" spans="4:9" x14ac:dyDescent="0.25">
      <c r="D494" s="82"/>
      <c r="E494"/>
      <c r="F494" s="82"/>
      <c r="G494"/>
      <c r="H494" s="82"/>
      <c r="I494"/>
    </row>
    <row r="495" spans="4:9" x14ac:dyDescent="0.25">
      <c r="D495" s="82"/>
      <c r="E495"/>
      <c r="F495" s="82"/>
      <c r="G495"/>
      <c r="H495" s="82"/>
      <c r="I495"/>
    </row>
    <row r="496" spans="4:9" x14ac:dyDescent="0.25">
      <c r="D496" s="82"/>
      <c r="E496"/>
      <c r="F496" s="82"/>
      <c r="G496"/>
      <c r="H496" s="82"/>
      <c r="I496"/>
    </row>
    <row r="497" spans="4:9" x14ac:dyDescent="0.25">
      <c r="D497" s="82"/>
      <c r="E497"/>
      <c r="F497" s="82"/>
      <c r="G497"/>
      <c r="H497" s="82"/>
      <c r="I497"/>
    </row>
    <row r="498" spans="4:9" x14ac:dyDescent="0.25">
      <c r="D498" s="82"/>
      <c r="E498"/>
      <c r="F498" s="82"/>
      <c r="G498"/>
      <c r="H498" s="82"/>
      <c r="I498"/>
    </row>
    <row r="499" spans="4:9" x14ac:dyDescent="0.25">
      <c r="D499" s="82"/>
      <c r="E499"/>
      <c r="F499" s="82"/>
      <c r="G499"/>
      <c r="H499" s="82"/>
      <c r="I499"/>
    </row>
    <row r="500" spans="4:9" x14ac:dyDescent="0.25">
      <c r="D500" s="82"/>
      <c r="E500"/>
      <c r="F500" s="82"/>
      <c r="G500"/>
      <c r="H500" s="82"/>
      <c r="I500"/>
    </row>
    <row r="501" spans="4:9" x14ac:dyDescent="0.25">
      <c r="D501" s="82"/>
      <c r="E501"/>
      <c r="F501" s="82"/>
      <c r="G501"/>
      <c r="H501" s="82"/>
      <c r="I501"/>
    </row>
    <row r="502" spans="4:9" x14ac:dyDescent="0.25">
      <c r="D502" s="82"/>
      <c r="E502"/>
      <c r="F502" s="82"/>
      <c r="G502"/>
      <c r="H502" s="82"/>
      <c r="I502"/>
    </row>
    <row r="503" spans="4:9" x14ac:dyDescent="0.25">
      <c r="D503" s="82"/>
      <c r="E503"/>
      <c r="F503" s="82"/>
      <c r="G503"/>
      <c r="H503" s="82"/>
      <c r="I503"/>
    </row>
    <row r="504" spans="4:9" x14ac:dyDescent="0.25">
      <c r="D504" s="82"/>
      <c r="E504"/>
      <c r="F504" s="82"/>
      <c r="G504"/>
      <c r="H504" s="82"/>
      <c r="I504"/>
    </row>
    <row r="505" spans="4:9" x14ac:dyDescent="0.25">
      <c r="D505" s="82"/>
      <c r="E505"/>
      <c r="F505" s="82"/>
      <c r="G505"/>
      <c r="H505" s="82"/>
      <c r="I505"/>
    </row>
    <row r="506" spans="4:9" x14ac:dyDescent="0.25">
      <c r="D506" s="82"/>
      <c r="E506"/>
      <c r="F506" s="82"/>
      <c r="G506"/>
      <c r="H506" s="82"/>
      <c r="I506"/>
    </row>
    <row r="507" spans="4:9" x14ac:dyDescent="0.25">
      <c r="D507" s="82"/>
      <c r="E507"/>
      <c r="F507" s="82"/>
      <c r="G507"/>
      <c r="H507" s="82"/>
      <c r="I507"/>
    </row>
    <row r="508" spans="4:9" x14ac:dyDescent="0.25">
      <c r="D508" s="82"/>
      <c r="E508"/>
      <c r="F508" s="82"/>
      <c r="G508"/>
      <c r="H508" s="82"/>
      <c r="I508"/>
    </row>
    <row r="509" spans="4:9" x14ac:dyDescent="0.25">
      <c r="D509" s="82"/>
      <c r="E509"/>
      <c r="F509" s="82"/>
      <c r="G509"/>
      <c r="H509" s="82"/>
      <c r="I509"/>
    </row>
    <row r="510" spans="4:9" x14ac:dyDescent="0.25">
      <c r="D510" s="82"/>
      <c r="E510"/>
      <c r="F510" s="82"/>
      <c r="G510"/>
      <c r="H510" s="82"/>
      <c r="I510"/>
    </row>
    <row r="511" spans="4:9" x14ac:dyDescent="0.25">
      <c r="D511" s="82"/>
      <c r="E511"/>
      <c r="F511" s="82"/>
      <c r="G511"/>
      <c r="H511" s="82"/>
      <c r="I511"/>
    </row>
    <row r="512" spans="4:9" x14ac:dyDescent="0.25">
      <c r="D512" s="82"/>
      <c r="E512"/>
      <c r="F512" s="82"/>
      <c r="G512"/>
      <c r="H512" s="82"/>
      <c r="I512"/>
    </row>
    <row r="513" spans="4:9" x14ac:dyDescent="0.25">
      <c r="D513" s="82"/>
      <c r="E513"/>
      <c r="F513" s="82"/>
      <c r="G513"/>
      <c r="H513" s="82"/>
      <c r="I513"/>
    </row>
    <row r="514" spans="4:9" x14ac:dyDescent="0.25">
      <c r="D514" s="82"/>
      <c r="E514"/>
      <c r="F514" s="82"/>
      <c r="G514"/>
      <c r="H514" s="82"/>
      <c r="I514"/>
    </row>
    <row r="515" spans="4:9" x14ac:dyDescent="0.25">
      <c r="D515" s="82"/>
      <c r="E515"/>
      <c r="F515" s="82"/>
      <c r="G515"/>
      <c r="H515" s="82"/>
      <c r="I515"/>
    </row>
    <row r="516" spans="4:9" x14ac:dyDescent="0.25">
      <c r="D516" s="82"/>
      <c r="E516"/>
      <c r="F516" s="82"/>
      <c r="G516"/>
      <c r="H516" s="82"/>
      <c r="I516"/>
    </row>
    <row r="517" spans="4:9" x14ac:dyDescent="0.25">
      <c r="D517" s="82"/>
      <c r="E517"/>
      <c r="F517" s="82"/>
      <c r="G517"/>
      <c r="H517" s="82"/>
      <c r="I517"/>
    </row>
    <row r="518" spans="4:9" x14ac:dyDescent="0.25">
      <c r="D518" s="82"/>
      <c r="E518"/>
      <c r="F518" s="82"/>
      <c r="G518"/>
      <c r="H518" s="82"/>
      <c r="I518"/>
    </row>
    <row r="519" spans="4:9" x14ac:dyDescent="0.25">
      <c r="D519" s="82"/>
      <c r="E519"/>
      <c r="F519" s="82"/>
      <c r="G519"/>
      <c r="H519" s="82"/>
      <c r="I519"/>
    </row>
    <row r="520" spans="4:9" x14ac:dyDescent="0.25">
      <c r="D520" s="82"/>
      <c r="E520"/>
      <c r="F520" s="82"/>
      <c r="G520"/>
      <c r="H520" s="82"/>
      <c r="I520"/>
    </row>
    <row r="521" spans="4:9" x14ac:dyDescent="0.25">
      <c r="D521" s="82"/>
      <c r="E521"/>
      <c r="F521" s="82"/>
      <c r="G521"/>
      <c r="H521" s="82"/>
      <c r="I521"/>
    </row>
    <row r="522" spans="4:9" x14ac:dyDescent="0.25">
      <c r="D522" s="82"/>
      <c r="E522"/>
      <c r="F522" s="82"/>
      <c r="G522"/>
      <c r="H522" s="82"/>
      <c r="I522"/>
    </row>
    <row r="523" spans="4:9" x14ac:dyDescent="0.25">
      <c r="D523" s="82"/>
      <c r="E523"/>
      <c r="F523" s="82"/>
      <c r="G523"/>
      <c r="H523" s="82"/>
      <c r="I523"/>
    </row>
    <row r="524" spans="4:9" x14ac:dyDescent="0.25">
      <c r="D524" s="82"/>
      <c r="E524"/>
      <c r="F524" s="82"/>
      <c r="G524"/>
      <c r="H524" s="82"/>
      <c r="I524"/>
    </row>
    <row r="525" spans="4:9" x14ac:dyDescent="0.25">
      <c r="D525" s="82"/>
      <c r="E525"/>
      <c r="F525" s="82"/>
      <c r="G525"/>
      <c r="H525" s="82"/>
      <c r="I525"/>
    </row>
    <row r="526" spans="4:9" x14ac:dyDescent="0.25">
      <c r="D526" s="82"/>
      <c r="E526"/>
      <c r="F526" s="82"/>
      <c r="G526"/>
      <c r="H526" s="82"/>
      <c r="I526"/>
    </row>
    <row r="527" spans="4:9" x14ac:dyDescent="0.25">
      <c r="D527" s="82"/>
      <c r="E527"/>
      <c r="F527" s="82"/>
      <c r="G527"/>
      <c r="H527" s="82"/>
      <c r="I527"/>
    </row>
    <row r="528" spans="4:9" x14ac:dyDescent="0.25">
      <c r="D528" s="82"/>
      <c r="E528"/>
      <c r="F528" s="82"/>
      <c r="G528"/>
      <c r="H528" s="82"/>
      <c r="I528"/>
    </row>
    <row r="529" spans="4:9" x14ac:dyDescent="0.25">
      <c r="D529" s="82"/>
      <c r="E529"/>
      <c r="F529" s="82"/>
      <c r="G529"/>
      <c r="H529" s="82"/>
      <c r="I529"/>
    </row>
    <row r="530" spans="4:9" x14ac:dyDescent="0.25">
      <c r="D530" s="82"/>
      <c r="E530"/>
      <c r="F530" s="82"/>
      <c r="G530"/>
      <c r="H530" s="82"/>
      <c r="I530"/>
    </row>
    <row r="531" spans="4:9" x14ac:dyDescent="0.25">
      <c r="D531" s="82"/>
      <c r="E531"/>
      <c r="F531" s="82"/>
      <c r="G531"/>
      <c r="H531" s="82"/>
      <c r="I531"/>
    </row>
    <row r="532" spans="4:9" x14ac:dyDescent="0.25">
      <c r="D532" s="82"/>
      <c r="E532"/>
      <c r="F532" s="82"/>
      <c r="G532"/>
      <c r="H532" s="82"/>
      <c r="I532"/>
    </row>
    <row r="533" spans="4:9" x14ac:dyDescent="0.25">
      <c r="D533" s="82"/>
      <c r="E533"/>
      <c r="F533" s="82"/>
      <c r="G533"/>
      <c r="H533" s="82"/>
      <c r="I533"/>
    </row>
    <row r="534" spans="4:9" x14ac:dyDescent="0.25">
      <c r="D534" s="82"/>
      <c r="E534"/>
      <c r="F534" s="82"/>
      <c r="G534"/>
      <c r="H534" s="82"/>
      <c r="I534"/>
    </row>
    <row r="535" spans="4:9" x14ac:dyDescent="0.25">
      <c r="D535" s="82"/>
      <c r="E535"/>
      <c r="F535" s="82"/>
      <c r="G535"/>
      <c r="H535" s="82"/>
      <c r="I535"/>
    </row>
    <row r="536" spans="4:9" x14ac:dyDescent="0.25">
      <c r="D536" s="82"/>
      <c r="E536"/>
      <c r="F536" s="82"/>
      <c r="G536"/>
      <c r="H536" s="82"/>
      <c r="I536"/>
    </row>
    <row r="537" spans="4:9" x14ac:dyDescent="0.25">
      <c r="D537" s="82"/>
      <c r="E537"/>
      <c r="F537" s="82"/>
      <c r="G537"/>
      <c r="H537" s="82"/>
      <c r="I537"/>
    </row>
    <row r="538" spans="4:9" x14ac:dyDescent="0.25">
      <c r="D538" s="82"/>
      <c r="E538"/>
      <c r="F538" s="82"/>
      <c r="G538"/>
      <c r="H538" s="82"/>
      <c r="I538"/>
    </row>
    <row r="539" spans="4:9" x14ac:dyDescent="0.25">
      <c r="D539" s="82"/>
      <c r="E539"/>
      <c r="F539" s="82"/>
      <c r="G539"/>
      <c r="H539" s="82"/>
      <c r="I539"/>
    </row>
    <row r="540" spans="4:9" x14ac:dyDescent="0.25">
      <c r="D540" s="82"/>
      <c r="E540"/>
      <c r="F540" s="82"/>
      <c r="G540"/>
      <c r="H540" s="82"/>
      <c r="I540"/>
    </row>
    <row r="541" spans="4:9" x14ac:dyDescent="0.25">
      <c r="D541" s="82"/>
      <c r="E541"/>
      <c r="F541" s="82"/>
      <c r="G541"/>
      <c r="H541" s="82"/>
      <c r="I541"/>
    </row>
    <row r="542" spans="4:9" x14ac:dyDescent="0.25">
      <c r="D542" s="82"/>
      <c r="E542"/>
      <c r="F542" s="82"/>
      <c r="G542"/>
      <c r="H542" s="82"/>
      <c r="I542"/>
    </row>
    <row r="543" spans="4:9" x14ac:dyDescent="0.25">
      <c r="D543" s="82"/>
      <c r="E543"/>
      <c r="F543" s="82"/>
      <c r="G543"/>
      <c r="H543" s="82"/>
      <c r="I543"/>
    </row>
    <row r="544" spans="4:9" x14ac:dyDescent="0.25">
      <c r="D544" s="82"/>
      <c r="E544"/>
      <c r="F544" s="82"/>
      <c r="G544"/>
      <c r="H544" s="82"/>
      <c r="I544"/>
    </row>
    <row r="545" spans="4:9" x14ac:dyDescent="0.25">
      <c r="D545" s="82"/>
      <c r="E545"/>
      <c r="F545" s="82"/>
      <c r="G545"/>
      <c r="H545" s="82"/>
      <c r="I545"/>
    </row>
    <row r="546" spans="4:9" x14ac:dyDescent="0.25">
      <c r="D546" s="82"/>
      <c r="E546"/>
      <c r="F546" s="82"/>
      <c r="G546"/>
      <c r="H546" s="82"/>
      <c r="I546"/>
    </row>
    <row r="547" spans="4:9" x14ac:dyDescent="0.25">
      <c r="D547" s="82"/>
      <c r="E547"/>
      <c r="F547" s="82"/>
      <c r="G547"/>
      <c r="H547" s="82"/>
      <c r="I547"/>
    </row>
    <row r="548" spans="4:9" x14ac:dyDescent="0.25">
      <c r="D548" s="82"/>
      <c r="E548"/>
      <c r="F548" s="82"/>
      <c r="G548"/>
      <c r="H548" s="82"/>
      <c r="I548"/>
    </row>
    <row r="549" spans="4:9" x14ac:dyDescent="0.25">
      <c r="D549" s="82"/>
      <c r="E549"/>
      <c r="F549" s="82"/>
      <c r="G549"/>
      <c r="H549" s="82"/>
      <c r="I549"/>
    </row>
    <row r="550" spans="4:9" x14ac:dyDescent="0.25">
      <c r="D550" s="82"/>
      <c r="E550"/>
      <c r="F550" s="82"/>
      <c r="G550"/>
      <c r="H550" s="82"/>
      <c r="I550"/>
    </row>
    <row r="551" spans="4:9" x14ac:dyDescent="0.25">
      <c r="D551" s="82"/>
      <c r="E551"/>
      <c r="F551" s="82"/>
      <c r="G551"/>
      <c r="H551" s="82"/>
      <c r="I551"/>
    </row>
    <row r="552" spans="4:9" x14ac:dyDescent="0.25">
      <c r="D552" s="82"/>
      <c r="E552"/>
      <c r="F552" s="82"/>
      <c r="G552"/>
      <c r="H552" s="82"/>
      <c r="I552"/>
    </row>
    <row r="553" spans="4:9" x14ac:dyDescent="0.25">
      <c r="D553" s="82"/>
      <c r="E553"/>
      <c r="F553" s="82"/>
      <c r="G553"/>
      <c r="H553" s="82"/>
      <c r="I553"/>
    </row>
    <row r="554" spans="4:9" x14ac:dyDescent="0.25">
      <c r="D554" s="82"/>
      <c r="E554"/>
      <c r="F554" s="82"/>
      <c r="G554"/>
      <c r="H554" s="82"/>
      <c r="I554"/>
    </row>
    <row r="555" spans="4:9" x14ac:dyDescent="0.25">
      <c r="D555" s="82"/>
      <c r="E555"/>
      <c r="F555" s="82"/>
      <c r="G555"/>
      <c r="H555" s="82"/>
      <c r="I555"/>
    </row>
    <row r="556" spans="4:9" x14ac:dyDescent="0.25">
      <c r="D556" s="82"/>
      <c r="E556"/>
      <c r="F556" s="82"/>
      <c r="G556"/>
      <c r="H556" s="82"/>
      <c r="I556"/>
    </row>
    <row r="557" spans="4:9" x14ac:dyDescent="0.25">
      <c r="D557" s="82"/>
      <c r="E557"/>
      <c r="F557" s="82"/>
      <c r="G557"/>
      <c r="H557" s="82"/>
      <c r="I557"/>
    </row>
    <row r="558" spans="4:9" x14ac:dyDescent="0.25">
      <c r="D558" s="82"/>
      <c r="E558"/>
      <c r="F558" s="82"/>
      <c r="G558"/>
      <c r="H558" s="82"/>
      <c r="I558"/>
    </row>
    <row r="559" spans="4:9" x14ac:dyDescent="0.25">
      <c r="D559" s="82"/>
      <c r="E559"/>
      <c r="F559" s="82"/>
      <c r="G559"/>
      <c r="H559" s="82"/>
      <c r="I559"/>
    </row>
    <row r="560" spans="4:9" x14ac:dyDescent="0.25">
      <c r="D560" s="82"/>
      <c r="E560"/>
      <c r="F560" s="82"/>
      <c r="G560"/>
      <c r="H560" s="82"/>
      <c r="I560"/>
    </row>
    <row r="561" spans="4:9" x14ac:dyDescent="0.25">
      <c r="D561" s="82"/>
      <c r="E561"/>
      <c r="F561" s="82"/>
      <c r="G561"/>
      <c r="H561" s="82"/>
      <c r="I561"/>
    </row>
    <row r="562" spans="4:9" x14ac:dyDescent="0.25">
      <c r="D562" s="82"/>
      <c r="E562"/>
      <c r="F562" s="82"/>
      <c r="G562"/>
      <c r="H562" s="82"/>
      <c r="I562"/>
    </row>
    <row r="563" spans="4:9" x14ac:dyDescent="0.25">
      <c r="D563" s="82"/>
      <c r="E563"/>
      <c r="F563" s="82"/>
      <c r="G563"/>
      <c r="H563" s="82"/>
      <c r="I563"/>
    </row>
    <row r="564" spans="4:9" x14ac:dyDescent="0.25">
      <c r="D564" s="82"/>
      <c r="E564"/>
      <c r="F564" s="82"/>
      <c r="G564"/>
      <c r="H564" s="82"/>
      <c r="I564"/>
    </row>
    <row r="565" spans="4:9" x14ac:dyDescent="0.25">
      <c r="D565" s="82"/>
      <c r="E565"/>
      <c r="F565" s="82"/>
      <c r="G565"/>
      <c r="H565" s="82"/>
      <c r="I565"/>
    </row>
    <row r="566" spans="4:9" x14ac:dyDescent="0.25">
      <c r="D566" s="82"/>
      <c r="E566"/>
      <c r="F566" s="82"/>
      <c r="G566"/>
      <c r="H566" s="82"/>
      <c r="I566"/>
    </row>
    <row r="567" spans="4:9" x14ac:dyDescent="0.25">
      <c r="D567" s="82"/>
      <c r="E567"/>
      <c r="F567" s="82"/>
      <c r="G567"/>
      <c r="H567" s="82"/>
      <c r="I567"/>
    </row>
    <row r="568" spans="4:9" x14ac:dyDescent="0.25">
      <c r="D568" s="82"/>
      <c r="E568"/>
      <c r="F568" s="82"/>
      <c r="G568"/>
      <c r="H568" s="82"/>
      <c r="I568"/>
    </row>
    <row r="569" spans="4:9" x14ac:dyDescent="0.25">
      <c r="D569" s="82"/>
      <c r="E569"/>
      <c r="F569" s="82"/>
      <c r="G569"/>
      <c r="H569" s="82"/>
      <c r="I569"/>
    </row>
    <row r="570" spans="4:9" x14ac:dyDescent="0.25">
      <c r="D570" s="82"/>
      <c r="E570"/>
      <c r="F570" s="82"/>
      <c r="G570"/>
      <c r="H570" s="82"/>
      <c r="I570"/>
    </row>
    <row r="571" spans="4:9" x14ac:dyDescent="0.25">
      <c r="D571" s="82"/>
      <c r="E571"/>
      <c r="F571" s="82"/>
      <c r="G571"/>
      <c r="H571" s="82"/>
      <c r="I571"/>
    </row>
    <row r="572" spans="4:9" x14ac:dyDescent="0.25">
      <c r="D572" s="82"/>
      <c r="E572"/>
      <c r="F572" s="82"/>
      <c r="G572"/>
      <c r="H572" s="82"/>
      <c r="I572"/>
    </row>
    <row r="573" spans="4:9" x14ac:dyDescent="0.25">
      <c r="D573" s="82"/>
      <c r="E573"/>
      <c r="F573" s="82"/>
      <c r="G573"/>
      <c r="H573" s="82"/>
      <c r="I573"/>
    </row>
    <row r="574" spans="4:9" x14ac:dyDescent="0.25">
      <c r="D574" s="82"/>
      <c r="E574"/>
      <c r="F574" s="82"/>
      <c r="G574"/>
      <c r="H574" s="82"/>
      <c r="I574"/>
    </row>
    <row r="575" spans="4:9" x14ac:dyDescent="0.25">
      <c r="D575" s="82"/>
      <c r="E575"/>
      <c r="F575" s="82"/>
      <c r="G575"/>
      <c r="H575" s="82"/>
      <c r="I575"/>
    </row>
    <row r="576" spans="4:9" x14ac:dyDescent="0.25">
      <c r="D576" s="82"/>
      <c r="E576"/>
      <c r="F576" s="82"/>
      <c r="G576"/>
      <c r="H576" s="82"/>
      <c r="I576"/>
    </row>
    <row r="577" spans="4:9" x14ac:dyDescent="0.25">
      <c r="D577" s="82"/>
      <c r="E577"/>
      <c r="F577" s="82"/>
      <c r="G577"/>
      <c r="H577" s="82"/>
      <c r="I577"/>
    </row>
    <row r="578" spans="4:9" x14ac:dyDescent="0.25">
      <c r="D578" s="82"/>
      <c r="E578"/>
      <c r="F578" s="82"/>
      <c r="G578"/>
      <c r="H578" s="82"/>
      <c r="I578"/>
    </row>
    <row r="579" spans="4:9" x14ac:dyDescent="0.25">
      <c r="D579" s="82"/>
      <c r="E579"/>
      <c r="F579" s="82"/>
      <c r="G579"/>
      <c r="H579" s="82"/>
      <c r="I579"/>
    </row>
    <row r="580" spans="4:9" x14ac:dyDescent="0.25">
      <c r="D580" s="82"/>
      <c r="E580"/>
      <c r="F580" s="82"/>
      <c r="G580"/>
      <c r="H580" s="82"/>
      <c r="I580"/>
    </row>
    <row r="581" spans="4:9" x14ac:dyDescent="0.25">
      <c r="D581" s="82"/>
      <c r="E581"/>
      <c r="F581" s="82"/>
      <c r="G581"/>
      <c r="H581" s="82"/>
      <c r="I581"/>
    </row>
  </sheetData>
  <mergeCells count="3">
    <mergeCell ref="D2:E2"/>
    <mergeCell ref="F2:G2"/>
    <mergeCell ref="H2:I2"/>
  </mergeCells>
  <conditionalFormatting sqref="H6:I6">
    <cfRule type="dataBar" priority="17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{FDDADAEF-8699-4E36-A3E9-E00A217889B5}</x14:id>
        </ext>
      </extLst>
    </cfRule>
  </conditionalFormatting>
  <conditionalFormatting sqref="I16">
    <cfRule type="dataBar" priority="3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{400A56FC-3773-4DCC-A0AF-2A3A0B1DFFCB}</x14:id>
        </ext>
      </extLst>
    </cfRule>
  </conditionalFormatting>
  <conditionalFormatting sqref="I23">
    <cfRule type="dataBar" priority="15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{7A5EE86C-DEAD-4342-AE4F-013A05C4203F}</x14:id>
        </ext>
      </extLst>
    </cfRule>
  </conditionalFormatting>
  <conditionalFormatting sqref="I32">
    <cfRule type="dataBar" priority="2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{04762B72-8B66-4E0A-892A-3686630231E9}</x14:id>
        </ext>
      </extLst>
    </cfRule>
  </conditionalFormatting>
  <conditionalFormatting sqref="I41">
    <cfRule type="dataBar" priority="1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{0715AF0E-6D1A-4A41-8686-0D977168536A}</x14:id>
        </ext>
      </extLst>
    </cfRule>
  </conditionalFormatting>
  <conditionalFormatting sqref="I45">
    <cfRule type="dataBar" priority="12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{C00D6CA6-950C-4FED-9313-355BDD4A296A}</x14:id>
        </ext>
      </extLst>
    </cfRule>
  </conditionalFormatting>
  <conditionalFormatting sqref="I60">
    <cfRule type="dataBar" priority="11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{176E3882-C0E9-4C40-87A8-60CC77E34EB8}</x14:id>
        </ext>
      </extLst>
    </cfRule>
  </conditionalFormatting>
  <conditionalFormatting sqref="I80">
    <cfRule type="dataBar" priority="10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{311272D8-B1F2-4D97-AA75-6243D924067D}</x14:id>
        </ext>
      </extLst>
    </cfRule>
  </conditionalFormatting>
  <conditionalFormatting sqref="I86">
    <cfRule type="dataBar" priority="9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{98E03577-E622-4096-AB09-EDA48E791B6C}</x14:id>
        </ext>
      </extLst>
    </cfRule>
  </conditionalFormatting>
  <conditionalFormatting sqref="I93">
    <cfRule type="dataBar" priority="8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{D8C4FD73-82A8-430D-B3AF-D247E8915BF5}</x14:id>
        </ext>
      </extLst>
    </cfRule>
  </conditionalFormatting>
  <conditionalFormatting sqref="I99">
    <cfRule type="dataBar" priority="7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{691D195B-DF02-40B1-8596-5323433F824D}</x14:id>
        </ext>
      </extLst>
    </cfRule>
  </conditionalFormatting>
  <conditionalFormatting sqref="I109">
    <cfRule type="dataBar" priority="6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{F8123882-358D-4819-A2B0-0091BA7B3677}</x14:id>
        </ext>
      </extLst>
    </cfRule>
  </conditionalFormatting>
  <conditionalFormatting sqref="I115">
    <cfRule type="dataBar" priority="5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{5C407B87-623C-4810-898C-A75A82351059}</x14:id>
        </ext>
      </extLst>
    </cfRule>
  </conditionalFormatting>
  <conditionalFormatting sqref="I126">
    <cfRule type="dataBar" priority="4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{3D0F6E32-3AFC-4DB0-B9D6-94B4F0C2561B}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DDADAEF-8699-4E36-A3E9-E00A217889B5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H6:I6</xm:sqref>
        </x14:conditionalFormatting>
        <x14:conditionalFormatting xmlns:xm="http://schemas.microsoft.com/office/excel/2006/main">
          <x14:cfRule type="dataBar" id="{400A56FC-3773-4DCC-A0AF-2A3A0B1DFFCB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7A5EE86C-DEAD-4342-AE4F-013A05C4203F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I23</xm:sqref>
        </x14:conditionalFormatting>
        <x14:conditionalFormatting xmlns:xm="http://schemas.microsoft.com/office/excel/2006/main">
          <x14:cfRule type="dataBar" id="{04762B72-8B66-4E0A-892A-3686630231E9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I32</xm:sqref>
        </x14:conditionalFormatting>
        <x14:conditionalFormatting xmlns:xm="http://schemas.microsoft.com/office/excel/2006/main">
          <x14:cfRule type="dataBar" id="{0715AF0E-6D1A-4A41-8686-0D977168536A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I41</xm:sqref>
        </x14:conditionalFormatting>
        <x14:conditionalFormatting xmlns:xm="http://schemas.microsoft.com/office/excel/2006/main">
          <x14:cfRule type="dataBar" id="{C00D6CA6-950C-4FED-9313-355BDD4A296A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I45</xm:sqref>
        </x14:conditionalFormatting>
        <x14:conditionalFormatting xmlns:xm="http://schemas.microsoft.com/office/excel/2006/main">
          <x14:cfRule type="dataBar" id="{176E3882-C0E9-4C40-87A8-60CC77E34EB8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I60</xm:sqref>
        </x14:conditionalFormatting>
        <x14:conditionalFormatting xmlns:xm="http://schemas.microsoft.com/office/excel/2006/main">
          <x14:cfRule type="dataBar" id="{311272D8-B1F2-4D97-AA75-6243D924067D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I80</xm:sqref>
        </x14:conditionalFormatting>
        <x14:conditionalFormatting xmlns:xm="http://schemas.microsoft.com/office/excel/2006/main">
          <x14:cfRule type="dataBar" id="{98E03577-E622-4096-AB09-EDA48E791B6C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I86</xm:sqref>
        </x14:conditionalFormatting>
        <x14:conditionalFormatting xmlns:xm="http://schemas.microsoft.com/office/excel/2006/main">
          <x14:cfRule type="dataBar" id="{D8C4FD73-82A8-430D-B3AF-D247E8915BF5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I93</xm:sqref>
        </x14:conditionalFormatting>
        <x14:conditionalFormatting xmlns:xm="http://schemas.microsoft.com/office/excel/2006/main">
          <x14:cfRule type="dataBar" id="{691D195B-DF02-40B1-8596-5323433F824D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I99</xm:sqref>
        </x14:conditionalFormatting>
        <x14:conditionalFormatting xmlns:xm="http://schemas.microsoft.com/office/excel/2006/main">
          <x14:cfRule type="dataBar" id="{F8123882-358D-4819-A2B0-0091BA7B3677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I109</xm:sqref>
        </x14:conditionalFormatting>
        <x14:conditionalFormatting xmlns:xm="http://schemas.microsoft.com/office/excel/2006/main">
          <x14:cfRule type="dataBar" id="{5C407B87-623C-4810-898C-A75A82351059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I115</xm:sqref>
        </x14:conditionalFormatting>
        <x14:conditionalFormatting xmlns:xm="http://schemas.microsoft.com/office/excel/2006/main">
          <x14:cfRule type="dataBar" id="{3D0F6E32-3AFC-4DB0-B9D6-94B4F0C2561B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I126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A1430-7C6A-435F-A0EC-983AAB9DD255}">
  <sheetPr codeName="Sheet3"/>
  <dimension ref="B1:S11"/>
  <sheetViews>
    <sheetView workbookViewId="0">
      <selection activeCell="G46" sqref="G46"/>
    </sheetView>
  </sheetViews>
  <sheetFormatPr defaultRowHeight="15" x14ac:dyDescent="0.25"/>
  <cols>
    <col min="1" max="1" width="2.28515625" customWidth="1"/>
    <col min="2" max="2" width="40.140625" customWidth="1"/>
    <col min="3" max="3" width="2.140625" customWidth="1"/>
    <col min="4" max="4" width="10" style="2" customWidth="1"/>
    <col min="5" max="5" width="8" style="2" customWidth="1"/>
    <col min="6" max="6" width="10.42578125" style="7" customWidth="1"/>
    <col min="7" max="7" width="11.5703125" style="1" customWidth="1"/>
    <col min="8" max="8" width="11.42578125" style="1" customWidth="1"/>
    <col min="9" max="9" width="4.140625" customWidth="1"/>
    <col min="10" max="10" width="9.42578125" style="5" bestFit="1" customWidth="1"/>
    <col min="11" max="11" width="11.85546875" customWidth="1"/>
    <col min="12" max="12" width="3.7109375" style="1" customWidth="1"/>
    <col min="13" max="13" width="11.42578125" style="5" bestFit="1" customWidth="1"/>
    <col min="14" max="14" width="12.42578125" customWidth="1"/>
    <col min="15" max="15" width="12.5703125" customWidth="1"/>
    <col min="16" max="16" width="12.5703125" style="2" customWidth="1"/>
    <col min="18" max="18" width="14.5703125" style="3" customWidth="1"/>
  </cols>
  <sheetData>
    <row r="1" spans="2:19" s="8" customFormat="1" ht="51.75" customHeight="1" x14ac:dyDescent="0.25">
      <c r="D1" s="9" t="s">
        <v>0</v>
      </c>
      <c r="E1" s="9" t="s">
        <v>1</v>
      </c>
      <c r="F1" s="12" t="s">
        <v>11</v>
      </c>
      <c r="G1" s="11" t="s">
        <v>2</v>
      </c>
      <c r="H1" s="11" t="s">
        <v>10</v>
      </c>
      <c r="J1" s="10" t="s">
        <v>12</v>
      </c>
      <c r="K1" s="8" t="s">
        <v>13</v>
      </c>
      <c r="L1" s="11"/>
      <c r="M1" s="10" t="s">
        <v>5</v>
      </c>
      <c r="N1" s="8" t="s">
        <v>6</v>
      </c>
      <c r="O1" s="8" t="s">
        <v>7</v>
      </c>
      <c r="P1" s="9" t="s">
        <v>9</v>
      </c>
      <c r="R1" s="13" t="s">
        <v>4</v>
      </c>
      <c r="S1" s="8">
        <v>10000</v>
      </c>
    </row>
    <row r="3" spans="2:19" x14ac:dyDescent="0.25">
      <c r="B3" t="s">
        <v>17</v>
      </c>
      <c r="D3" s="15">
        <v>12.8</v>
      </c>
      <c r="E3" s="15">
        <v>280</v>
      </c>
      <c r="F3" s="15">
        <v>25</v>
      </c>
      <c r="G3" s="16">
        <v>500</v>
      </c>
      <c r="H3" s="16">
        <v>400</v>
      </c>
      <c r="J3" s="5">
        <f>D3*E3</f>
        <v>3584</v>
      </c>
      <c r="K3" s="6">
        <f>INT($S$1/J3) + 1</f>
        <v>3</v>
      </c>
      <c r="M3" s="17">
        <f>K3*J3</f>
        <v>10752</v>
      </c>
      <c r="N3" s="18">
        <f>K3*G3 + H3</f>
        <v>1900</v>
      </c>
      <c r="O3" s="18">
        <f>N3/(M3/1000)</f>
        <v>176.71130952380952</v>
      </c>
      <c r="P3" s="19">
        <f>K3*F3</f>
        <v>75</v>
      </c>
    </row>
    <row r="4" spans="2:19" x14ac:dyDescent="0.25">
      <c r="B4" t="s">
        <v>18</v>
      </c>
      <c r="D4" s="15">
        <v>25.6</v>
      </c>
      <c r="E4" s="15">
        <v>230</v>
      </c>
      <c r="F4" s="15">
        <v>35</v>
      </c>
      <c r="G4" s="16">
        <v>840</v>
      </c>
      <c r="H4" s="16">
        <v>400</v>
      </c>
      <c r="J4" s="5">
        <f>D4*E4</f>
        <v>5888</v>
      </c>
      <c r="K4" s="6">
        <f>INT($S$1/J4) + 1</f>
        <v>2</v>
      </c>
      <c r="M4" s="17">
        <f>K4*J4</f>
        <v>11776</v>
      </c>
      <c r="N4" s="18">
        <f>K4*G4 + H4</f>
        <v>2080</v>
      </c>
      <c r="O4" s="18">
        <f>N4/(M4/1000)</f>
        <v>176.63043478260869</v>
      </c>
      <c r="P4" s="19">
        <f>K4*F4</f>
        <v>70</v>
      </c>
    </row>
    <row r="5" spans="2:19" x14ac:dyDescent="0.25">
      <c r="D5"/>
      <c r="E5"/>
      <c r="F5"/>
      <c r="G5"/>
      <c r="H5"/>
      <c r="K5" s="6"/>
      <c r="L5"/>
      <c r="M5"/>
      <c r="P5"/>
    </row>
    <row r="6" spans="2:19" x14ac:dyDescent="0.25">
      <c r="B6" t="s">
        <v>3</v>
      </c>
      <c r="D6" s="15">
        <v>12.8</v>
      </c>
      <c r="E6" s="15">
        <v>460</v>
      </c>
      <c r="F6" s="15">
        <v>39.5</v>
      </c>
      <c r="G6" s="16">
        <v>1500</v>
      </c>
      <c r="H6" s="16">
        <v>200</v>
      </c>
      <c r="J6" s="5">
        <f>D6*E6</f>
        <v>5888</v>
      </c>
      <c r="K6" s="6">
        <f>INT($S$1/J6) + 1</f>
        <v>2</v>
      </c>
      <c r="M6" s="17">
        <f>K6*J6</f>
        <v>11776</v>
      </c>
      <c r="N6" s="18">
        <f>K6*G6 + H6</f>
        <v>3200</v>
      </c>
      <c r="O6" s="18">
        <f>N6/(M6/1000)</f>
        <v>271.73913043478262</v>
      </c>
      <c r="P6" s="19">
        <f>K6*F6</f>
        <v>79</v>
      </c>
    </row>
    <row r="7" spans="2:19" x14ac:dyDescent="0.25">
      <c r="B7" t="s">
        <v>8</v>
      </c>
      <c r="D7" s="15">
        <v>12.8</v>
      </c>
      <c r="E7" s="15">
        <v>230</v>
      </c>
      <c r="F7" s="15">
        <v>20.5</v>
      </c>
      <c r="G7" s="16">
        <v>650</v>
      </c>
      <c r="H7" s="16">
        <v>300</v>
      </c>
      <c r="J7" s="5">
        <f>D7*E7</f>
        <v>2944</v>
      </c>
      <c r="K7" s="6">
        <f>INT($S$1/J7) + 1</f>
        <v>4</v>
      </c>
      <c r="M7" s="17">
        <f>K7*J7</f>
        <v>11776</v>
      </c>
      <c r="N7" s="18">
        <f>K7*G7 + H7</f>
        <v>2900</v>
      </c>
      <c r="O7" s="18">
        <f>N7/(M7/1000)</f>
        <v>246.26358695652175</v>
      </c>
      <c r="P7" s="19">
        <f>K7*F7</f>
        <v>82</v>
      </c>
    </row>
    <row r="8" spans="2:19" x14ac:dyDescent="0.25">
      <c r="B8" t="s">
        <v>14</v>
      </c>
      <c r="D8" s="15">
        <v>12.8</v>
      </c>
      <c r="E8" s="15">
        <v>100</v>
      </c>
      <c r="F8" s="15">
        <v>11</v>
      </c>
      <c r="G8" s="16">
        <v>240</v>
      </c>
      <c r="H8" s="16">
        <v>400</v>
      </c>
      <c r="J8" s="5">
        <f>D8*E8</f>
        <v>1280</v>
      </c>
      <c r="K8" s="6">
        <f>INT($S$1/J8) + 1</f>
        <v>8</v>
      </c>
      <c r="M8" s="17">
        <f>K8*J8</f>
        <v>10240</v>
      </c>
      <c r="N8" s="18">
        <f>K8*G8 + H8</f>
        <v>2320</v>
      </c>
      <c r="O8" s="18">
        <f>N8/(M8/1000)</f>
        <v>226.5625</v>
      </c>
      <c r="P8" s="19">
        <f>K8*F8</f>
        <v>88</v>
      </c>
    </row>
    <row r="9" spans="2:19" x14ac:dyDescent="0.25">
      <c r="B9" t="s">
        <v>16</v>
      </c>
      <c r="D9" s="15">
        <v>25.6</v>
      </c>
      <c r="E9" s="15">
        <v>230</v>
      </c>
      <c r="F9" s="15">
        <v>43</v>
      </c>
      <c r="G9" s="16">
        <v>1340</v>
      </c>
      <c r="H9" s="16">
        <v>200</v>
      </c>
      <c r="J9" s="5">
        <f>D9*E9</f>
        <v>5888</v>
      </c>
      <c r="K9" s="6">
        <f>INT($S$1/J9) + 1</f>
        <v>2</v>
      </c>
      <c r="M9" s="17">
        <f>K9*J9</f>
        <v>11776</v>
      </c>
      <c r="N9" s="18">
        <f>K9*G9 + H9</f>
        <v>2880</v>
      </c>
      <c r="O9" s="18">
        <f>N9/(M9/1000)</f>
        <v>244.56521739130434</v>
      </c>
      <c r="P9" s="19">
        <f>K9*F9</f>
        <v>86</v>
      </c>
    </row>
    <row r="11" spans="2:19" x14ac:dyDescent="0.25">
      <c r="B11" t="s">
        <v>15</v>
      </c>
      <c r="D11" s="15">
        <v>52.2</v>
      </c>
      <c r="E11" s="15">
        <v>100</v>
      </c>
      <c r="F11" s="15">
        <v>44</v>
      </c>
      <c r="G11" s="16">
        <v>1400</v>
      </c>
      <c r="H11" s="16">
        <v>200</v>
      </c>
      <c r="J11" s="5">
        <f>D11*E11</f>
        <v>5220</v>
      </c>
      <c r="K11" s="6">
        <f>INT($S$1/J11) + 1</f>
        <v>2</v>
      </c>
      <c r="M11" s="17">
        <f>K11*J11</f>
        <v>10440</v>
      </c>
      <c r="N11" s="18">
        <f>K11*G11 + H11</f>
        <v>3000</v>
      </c>
      <c r="O11" s="18">
        <f>N11/(M11/1000)</f>
        <v>287.35632183908046</v>
      </c>
      <c r="P11" s="19">
        <f>K11*F11</f>
        <v>88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5B506-571A-42C0-8AF3-7047047D4186}">
  <sheetPr codeName="Sheet4"/>
  <dimension ref="A1:W75"/>
  <sheetViews>
    <sheetView workbookViewId="0"/>
  </sheetViews>
  <sheetFormatPr defaultRowHeight="15" x14ac:dyDescent="0.25"/>
  <cols>
    <col min="1" max="1" width="4.7109375" customWidth="1"/>
    <col min="2" max="2" width="5.7109375" customWidth="1"/>
    <col min="3" max="3" width="38.5703125" customWidth="1"/>
    <col min="4" max="4" width="7.85546875" style="27" customWidth="1"/>
    <col min="5" max="5" width="10.85546875" style="4" customWidth="1"/>
    <col min="6" max="6" width="11" style="4" customWidth="1"/>
    <col min="7" max="7" width="9.42578125" style="4" customWidth="1"/>
    <col min="8" max="8" width="14.5703125" style="4" bestFit="1" customWidth="1"/>
    <col min="9" max="9" width="14.42578125" style="4" customWidth="1"/>
    <col min="10" max="10" width="15.28515625" style="4" bestFit="1" customWidth="1"/>
    <col min="11" max="11" width="3.42578125" customWidth="1"/>
    <col min="12" max="12" width="12.28515625" customWidth="1"/>
    <col min="13" max="13" width="11.85546875" customWidth="1"/>
    <col min="14" max="14" width="12.7109375" customWidth="1"/>
    <col min="15" max="15" width="4.5703125" customWidth="1"/>
    <col min="16" max="16" width="13.28515625" style="4" bestFit="1" customWidth="1"/>
    <col min="17" max="17" width="12" customWidth="1"/>
    <col min="18" max="18" width="3.42578125" customWidth="1"/>
    <col min="19" max="21" width="9.42578125" style="4" bestFit="1" customWidth="1"/>
  </cols>
  <sheetData>
    <row r="1" spans="1:23" x14ac:dyDescent="0.25">
      <c r="F1"/>
      <c r="G1"/>
    </row>
    <row r="2" spans="1:23" s="20" customFormat="1" x14ac:dyDescent="0.25">
      <c r="A2"/>
      <c r="B2"/>
      <c r="C2"/>
      <c r="D2" s="27" t="s">
        <v>74</v>
      </c>
      <c r="E2" s="4" t="s">
        <v>27</v>
      </c>
      <c r="F2" t="s">
        <v>0</v>
      </c>
      <c r="G2" t="s">
        <v>73</v>
      </c>
      <c r="H2" s="4" t="s">
        <v>28</v>
      </c>
      <c r="I2" s="4" t="s">
        <v>30</v>
      </c>
      <c r="J2" s="4" t="s">
        <v>29</v>
      </c>
      <c r="K2"/>
      <c r="L2" t="s">
        <v>63</v>
      </c>
      <c r="M2" t="s">
        <v>64</v>
      </c>
      <c r="N2" s="20" t="s">
        <v>65</v>
      </c>
      <c r="P2" s="31" t="s">
        <v>90</v>
      </c>
      <c r="Q2" s="28" t="s">
        <v>91</v>
      </c>
      <c r="S2" s="63"/>
      <c r="T2" s="63"/>
      <c r="U2" s="63"/>
      <c r="V2"/>
      <c r="W2"/>
    </row>
    <row r="3" spans="1:23" x14ac:dyDescent="0.25">
      <c r="B3" t="s">
        <v>31</v>
      </c>
      <c r="F3"/>
      <c r="G3"/>
      <c r="P3" s="32"/>
      <c r="Q3" s="29"/>
      <c r="S3" s="63"/>
      <c r="T3" s="63"/>
      <c r="U3" s="63"/>
    </row>
    <row r="4" spans="1:23" x14ac:dyDescent="0.25">
      <c r="C4" t="s">
        <v>43</v>
      </c>
      <c r="D4" s="27" t="s">
        <v>75</v>
      </c>
      <c r="E4" s="22">
        <v>11</v>
      </c>
      <c r="F4" s="15">
        <v>12.8</v>
      </c>
      <c r="G4" s="26">
        <f>E4*F4</f>
        <v>140.80000000000001</v>
      </c>
      <c r="H4" s="22">
        <v>0.2</v>
      </c>
      <c r="I4" s="22">
        <v>0.3</v>
      </c>
      <c r="J4" s="22">
        <v>0.2</v>
      </c>
      <c r="L4" s="2">
        <f t="shared" ref="L4:L11" si="0">IF(D4="X",G4*H4,0)</f>
        <v>28.160000000000004</v>
      </c>
      <c r="M4" s="2">
        <f t="shared" ref="M4:M11" si="1">IF(D4="X",G4*I4,0)</f>
        <v>42.24</v>
      </c>
      <c r="N4" s="2">
        <f t="shared" ref="N4:N11" si="2">IF(D4="X",G4*J4,0)</f>
        <v>28.160000000000004</v>
      </c>
      <c r="P4" s="33">
        <v>0.5</v>
      </c>
      <c r="Q4" s="29">
        <f t="shared" ref="Q4:Q11" si="3">G4*P4</f>
        <v>70.400000000000006</v>
      </c>
      <c r="S4" s="63"/>
      <c r="T4" s="63"/>
      <c r="U4" s="63"/>
    </row>
    <row r="5" spans="1:23" x14ac:dyDescent="0.25">
      <c r="C5" t="s">
        <v>24</v>
      </c>
      <c r="D5" s="27" t="s">
        <v>75</v>
      </c>
      <c r="E5" s="22">
        <v>5</v>
      </c>
      <c r="F5" s="15">
        <v>12.8</v>
      </c>
      <c r="G5" s="26">
        <f t="shared" ref="G5:G11" si="4">E5*F5</f>
        <v>64</v>
      </c>
      <c r="H5" s="22">
        <v>0.1</v>
      </c>
      <c r="I5" s="22">
        <v>0.1</v>
      </c>
      <c r="J5" s="22">
        <v>0.1</v>
      </c>
      <c r="L5" s="2">
        <f t="shared" si="0"/>
        <v>6.4</v>
      </c>
      <c r="M5" s="2">
        <f t="shared" si="1"/>
        <v>6.4</v>
      </c>
      <c r="N5" s="2">
        <f t="shared" si="2"/>
        <v>6.4</v>
      </c>
      <c r="P5" s="33">
        <v>1</v>
      </c>
      <c r="Q5" s="29">
        <f t="shared" si="3"/>
        <v>64</v>
      </c>
      <c r="S5" s="63"/>
      <c r="T5" s="63"/>
      <c r="U5" s="63"/>
    </row>
    <row r="6" spans="1:23" x14ac:dyDescent="0.25">
      <c r="C6" t="s">
        <v>19</v>
      </c>
      <c r="D6" s="27" t="s">
        <v>75</v>
      </c>
      <c r="E6" s="22">
        <v>12</v>
      </c>
      <c r="F6" s="15">
        <v>12.8</v>
      </c>
      <c r="G6" s="26">
        <f t="shared" si="4"/>
        <v>153.60000000000002</v>
      </c>
      <c r="H6" s="22">
        <v>2</v>
      </c>
      <c r="I6" s="22">
        <v>0</v>
      </c>
      <c r="J6" s="22">
        <v>2</v>
      </c>
      <c r="L6" s="2">
        <f t="shared" si="0"/>
        <v>307.20000000000005</v>
      </c>
      <c r="M6" s="2">
        <f t="shared" si="1"/>
        <v>0</v>
      </c>
      <c r="N6" s="2">
        <f t="shared" si="2"/>
        <v>307.20000000000005</v>
      </c>
      <c r="P6" s="33">
        <v>4</v>
      </c>
      <c r="Q6" s="29">
        <f t="shared" si="3"/>
        <v>614.40000000000009</v>
      </c>
      <c r="S6" s="63"/>
      <c r="T6" s="63"/>
      <c r="U6" s="63"/>
    </row>
    <row r="7" spans="1:23" x14ac:dyDescent="0.25">
      <c r="C7" s="21" t="s">
        <v>37</v>
      </c>
      <c r="D7" s="27" t="s">
        <v>76</v>
      </c>
      <c r="E7" s="23">
        <v>10</v>
      </c>
      <c r="F7" s="15">
        <v>12.8</v>
      </c>
      <c r="G7" s="26">
        <f t="shared" si="4"/>
        <v>128</v>
      </c>
      <c r="H7" s="22">
        <v>0.1</v>
      </c>
      <c r="I7" s="22">
        <v>0.1</v>
      </c>
      <c r="J7" s="22">
        <v>0.1</v>
      </c>
      <c r="L7" s="2">
        <f t="shared" si="0"/>
        <v>0</v>
      </c>
      <c r="M7" s="2">
        <f t="shared" si="1"/>
        <v>0</v>
      </c>
      <c r="N7" s="2">
        <f t="shared" si="2"/>
        <v>0</v>
      </c>
      <c r="P7" s="33">
        <v>1</v>
      </c>
      <c r="Q7" s="29">
        <f t="shared" si="3"/>
        <v>128</v>
      </c>
      <c r="S7" s="63"/>
      <c r="T7" s="63"/>
      <c r="U7" s="63"/>
    </row>
    <row r="8" spans="1:23" x14ac:dyDescent="0.25">
      <c r="C8" s="21" t="s">
        <v>38</v>
      </c>
      <c r="D8" s="27" t="s">
        <v>75</v>
      </c>
      <c r="E8" s="23">
        <v>100</v>
      </c>
      <c r="F8" s="15">
        <v>12.8</v>
      </c>
      <c r="G8" s="26">
        <f t="shared" si="4"/>
        <v>1280</v>
      </c>
      <c r="H8" s="22">
        <v>0.15</v>
      </c>
      <c r="I8" s="22">
        <v>0</v>
      </c>
      <c r="J8" s="22">
        <v>0</v>
      </c>
      <c r="L8" s="2">
        <f t="shared" si="0"/>
        <v>192</v>
      </c>
      <c r="M8" s="2">
        <f t="shared" si="1"/>
        <v>0</v>
      </c>
      <c r="N8" s="2">
        <f t="shared" si="2"/>
        <v>0</v>
      </c>
      <c r="P8" s="33">
        <v>1</v>
      </c>
      <c r="Q8" s="29">
        <f t="shared" si="3"/>
        <v>1280</v>
      </c>
      <c r="S8" s="63"/>
      <c r="T8" s="63"/>
      <c r="U8" s="63"/>
    </row>
    <row r="9" spans="1:23" x14ac:dyDescent="0.25">
      <c r="C9" s="21" t="s">
        <v>71</v>
      </c>
      <c r="D9" s="27" t="s">
        <v>75</v>
      </c>
      <c r="E9" s="23">
        <v>1</v>
      </c>
      <c r="F9" s="15">
        <v>12.8</v>
      </c>
      <c r="G9" s="26">
        <f t="shared" si="4"/>
        <v>12.8</v>
      </c>
      <c r="H9" s="22">
        <v>1</v>
      </c>
      <c r="I9" s="22">
        <v>1</v>
      </c>
      <c r="J9" s="22">
        <v>1</v>
      </c>
      <c r="L9" s="2">
        <f t="shared" si="0"/>
        <v>12.8</v>
      </c>
      <c r="M9" s="2">
        <f t="shared" si="1"/>
        <v>12.8</v>
      </c>
      <c r="N9" s="2">
        <f t="shared" si="2"/>
        <v>12.8</v>
      </c>
      <c r="P9" s="33">
        <v>24</v>
      </c>
      <c r="Q9" s="29">
        <f t="shared" si="3"/>
        <v>307.20000000000005</v>
      </c>
      <c r="S9" s="63"/>
      <c r="T9" s="63"/>
      <c r="U9" s="63"/>
    </row>
    <row r="10" spans="1:23" x14ac:dyDescent="0.25">
      <c r="C10" s="21" t="s">
        <v>47</v>
      </c>
      <c r="D10" s="27" t="s">
        <v>75</v>
      </c>
      <c r="E10" s="23">
        <v>1</v>
      </c>
      <c r="F10" s="15">
        <v>12.8</v>
      </c>
      <c r="G10" s="26">
        <f t="shared" si="4"/>
        <v>12.8</v>
      </c>
      <c r="H10" s="22">
        <v>24</v>
      </c>
      <c r="I10" s="22">
        <v>24</v>
      </c>
      <c r="J10" s="22">
        <v>24</v>
      </c>
      <c r="L10" s="2">
        <f t="shared" si="0"/>
        <v>307.20000000000005</v>
      </c>
      <c r="M10" s="2">
        <f t="shared" si="1"/>
        <v>307.20000000000005</v>
      </c>
      <c r="N10" s="2">
        <f t="shared" si="2"/>
        <v>307.20000000000005</v>
      </c>
      <c r="P10" s="33">
        <v>24</v>
      </c>
      <c r="Q10" s="29">
        <f t="shared" si="3"/>
        <v>307.20000000000005</v>
      </c>
      <c r="S10" s="63"/>
      <c r="T10" s="63"/>
      <c r="U10" s="63"/>
    </row>
    <row r="11" spans="1:23" x14ac:dyDescent="0.25">
      <c r="C11" s="21" t="s">
        <v>48</v>
      </c>
      <c r="D11" s="27" t="s">
        <v>75</v>
      </c>
      <c r="E11" s="23">
        <v>0.5</v>
      </c>
      <c r="F11" s="15">
        <v>12.8</v>
      </c>
      <c r="G11" s="26">
        <f t="shared" si="4"/>
        <v>6.4</v>
      </c>
      <c r="H11" s="22">
        <v>24</v>
      </c>
      <c r="I11" s="22">
        <v>24</v>
      </c>
      <c r="J11" s="22">
        <v>24</v>
      </c>
      <c r="L11" s="2">
        <f t="shared" si="0"/>
        <v>153.60000000000002</v>
      </c>
      <c r="M11" s="2">
        <f t="shared" si="1"/>
        <v>153.60000000000002</v>
      </c>
      <c r="N11" s="2">
        <f t="shared" si="2"/>
        <v>153.60000000000002</v>
      </c>
      <c r="P11" s="33">
        <v>24</v>
      </c>
      <c r="Q11" s="29">
        <f t="shared" si="3"/>
        <v>153.60000000000002</v>
      </c>
      <c r="S11" s="63"/>
      <c r="T11" s="63"/>
      <c r="U11" s="63"/>
    </row>
    <row r="12" spans="1:23" x14ac:dyDescent="0.25">
      <c r="E12" s="24"/>
      <c r="F12" s="2"/>
      <c r="G12" s="2"/>
      <c r="H12" s="24"/>
      <c r="I12" s="24"/>
      <c r="J12" s="24"/>
      <c r="L12" s="2"/>
      <c r="M12" s="2"/>
      <c r="N12" s="2"/>
      <c r="P12" s="34"/>
      <c r="Q12" s="29"/>
      <c r="S12" s="63"/>
      <c r="T12" s="63"/>
      <c r="U12" s="63"/>
    </row>
    <row r="13" spans="1:23" x14ac:dyDescent="0.25">
      <c r="B13" t="s">
        <v>34</v>
      </c>
      <c r="E13" s="24"/>
      <c r="F13" s="2"/>
      <c r="G13" s="2"/>
      <c r="H13" s="24"/>
      <c r="I13" s="24"/>
      <c r="J13" s="24"/>
      <c r="L13" s="2"/>
      <c r="M13" s="2"/>
      <c r="N13" s="2"/>
      <c r="P13" s="34"/>
      <c r="Q13" s="29"/>
      <c r="S13" s="63"/>
      <c r="T13" s="63"/>
      <c r="U13" s="63"/>
    </row>
    <row r="14" spans="1:23" x14ac:dyDescent="0.25">
      <c r="C14" t="s">
        <v>25</v>
      </c>
      <c r="D14" s="27" t="s">
        <v>75</v>
      </c>
      <c r="E14" s="22">
        <v>0.3</v>
      </c>
      <c r="F14" s="15">
        <v>12.8</v>
      </c>
      <c r="G14" s="26">
        <f>E14*F14</f>
        <v>3.84</v>
      </c>
      <c r="H14" s="22">
        <v>12</v>
      </c>
      <c r="I14" s="22">
        <v>0</v>
      </c>
      <c r="J14" s="22">
        <v>0</v>
      </c>
      <c r="L14" s="2">
        <f>IF(D14="X",G14*H14,0)</f>
        <v>46.08</v>
      </c>
      <c r="M14" s="2">
        <f>IF(D14="X",G14*I14,0)</f>
        <v>0</v>
      </c>
      <c r="N14" s="2">
        <f>IF(D14="X",G14*J14,0)</f>
        <v>0</v>
      </c>
      <c r="P14" s="33">
        <v>14</v>
      </c>
      <c r="Q14" s="29">
        <f t="shared" ref="Q14:Q22" si="5">G14*P14</f>
        <v>53.76</v>
      </c>
      <c r="S14" s="63"/>
      <c r="T14" s="63"/>
      <c r="U14" s="63"/>
    </row>
    <row r="15" spans="1:23" x14ac:dyDescent="0.25">
      <c r="C15" t="s">
        <v>20</v>
      </c>
      <c r="D15" s="27" t="s">
        <v>75</v>
      </c>
      <c r="E15" s="22">
        <v>2</v>
      </c>
      <c r="F15" s="15">
        <v>12.8</v>
      </c>
      <c r="G15" s="26">
        <f t="shared" ref="G15:G17" si="6">E15*F15</f>
        <v>25.6</v>
      </c>
      <c r="H15" s="22">
        <v>5</v>
      </c>
      <c r="I15" s="22">
        <v>5</v>
      </c>
      <c r="J15" s="22">
        <v>2</v>
      </c>
      <c r="L15" s="2">
        <f>IF(D15="X",G15*H15,0)</f>
        <v>128</v>
      </c>
      <c r="M15" s="2">
        <f>IF(D15="X",G15*I15,0)</f>
        <v>128</v>
      </c>
      <c r="N15" s="2">
        <f>IF(D15="X",G15*J15,0)</f>
        <v>51.2</v>
      </c>
      <c r="P15" s="33">
        <v>12</v>
      </c>
      <c r="Q15" s="29">
        <f t="shared" si="5"/>
        <v>307.20000000000005</v>
      </c>
      <c r="S15" s="63"/>
      <c r="T15" s="63"/>
      <c r="U15" s="63"/>
    </row>
    <row r="16" spans="1:23" x14ac:dyDescent="0.25">
      <c r="C16" t="s">
        <v>49</v>
      </c>
      <c r="D16" s="27" t="s">
        <v>75</v>
      </c>
      <c r="E16" s="22">
        <v>1</v>
      </c>
      <c r="F16" s="15">
        <v>12.8</v>
      </c>
      <c r="G16" s="26">
        <f t="shared" si="6"/>
        <v>12.8</v>
      </c>
      <c r="H16" s="22">
        <v>0.25</v>
      </c>
      <c r="I16" s="22">
        <v>0</v>
      </c>
      <c r="J16" s="22">
        <v>0</v>
      </c>
      <c r="L16" s="2">
        <f>IF(D16="X",G16*H16,0)</f>
        <v>3.2</v>
      </c>
      <c r="M16" s="2">
        <f>IF(D16="X",G16*I16,0)</f>
        <v>0</v>
      </c>
      <c r="N16" s="2">
        <f>IF(D16="X",G16*J16,0)</f>
        <v>0</v>
      </c>
      <c r="P16" s="33">
        <v>4</v>
      </c>
      <c r="Q16" s="29">
        <f t="shared" si="5"/>
        <v>51.2</v>
      </c>
      <c r="S16" s="63"/>
      <c r="T16" s="63"/>
      <c r="U16" s="63"/>
    </row>
    <row r="17" spans="2:21" x14ac:dyDescent="0.25">
      <c r="C17" t="s">
        <v>50</v>
      </c>
      <c r="D17" s="27" t="s">
        <v>75</v>
      </c>
      <c r="E17" s="22">
        <v>1.5</v>
      </c>
      <c r="F17" s="15">
        <v>12.8</v>
      </c>
      <c r="G17" s="26">
        <f t="shared" si="6"/>
        <v>19.200000000000003</v>
      </c>
      <c r="H17" s="22">
        <v>0</v>
      </c>
      <c r="I17" s="22">
        <v>0</v>
      </c>
      <c r="J17" s="22">
        <v>12</v>
      </c>
      <c r="L17" s="2">
        <f>IF(D17="X",G17*H17,0)</f>
        <v>0</v>
      </c>
      <c r="M17" s="2">
        <f>IF(D17="X",G17*I17,0)</f>
        <v>0</v>
      </c>
      <c r="N17" s="2">
        <f>IF(D17="X",G17*J17,0)</f>
        <v>230.40000000000003</v>
      </c>
      <c r="P17" s="33">
        <v>14</v>
      </c>
      <c r="Q17" s="29">
        <f t="shared" si="5"/>
        <v>268.80000000000007</v>
      </c>
      <c r="S17" s="63"/>
      <c r="T17" s="63"/>
      <c r="U17" s="63"/>
    </row>
    <row r="18" spans="2:21" x14ac:dyDescent="0.25">
      <c r="E18" s="24"/>
      <c r="F18" s="2"/>
      <c r="G18" s="2"/>
      <c r="H18" s="24"/>
      <c r="I18" s="24"/>
      <c r="J18" s="24"/>
      <c r="L18" s="2"/>
      <c r="M18" s="2"/>
      <c r="N18" s="2"/>
      <c r="P18" s="34"/>
      <c r="Q18" s="29">
        <f t="shared" si="5"/>
        <v>0</v>
      </c>
      <c r="S18" s="63"/>
      <c r="T18" s="63"/>
      <c r="U18" s="63"/>
    </row>
    <row r="19" spans="2:21" x14ac:dyDescent="0.25">
      <c r="B19" t="s">
        <v>33</v>
      </c>
      <c r="E19" s="24"/>
      <c r="F19" s="2"/>
      <c r="G19" s="2"/>
      <c r="H19" s="24"/>
      <c r="I19" s="24"/>
      <c r="J19" s="24"/>
      <c r="L19" s="2"/>
      <c r="M19" s="2"/>
      <c r="N19" s="2"/>
      <c r="P19" s="34"/>
      <c r="Q19" s="29">
        <f t="shared" si="5"/>
        <v>0</v>
      </c>
      <c r="S19" s="63"/>
      <c r="T19" s="63"/>
      <c r="U19" s="63"/>
    </row>
    <row r="20" spans="2:21" x14ac:dyDescent="0.25">
      <c r="C20" s="21" t="s">
        <v>35</v>
      </c>
      <c r="D20" s="27" t="s">
        <v>75</v>
      </c>
      <c r="E20" s="23">
        <v>6</v>
      </c>
      <c r="F20" s="15">
        <v>12.8</v>
      </c>
      <c r="G20" s="26">
        <f>E20*F20</f>
        <v>76.800000000000011</v>
      </c>
      <c r="H20" s="22">
        <v>12</v>
      </c>
      <c r="I20" s="22">
        <v>12</v>
      </c>
      <c r="J20" s="22">
        <v>12</v>
      </c>
      <c r="L20" s="2">
        <f>IF(D20="X",G20*H20,0)</f>
        <v>921.60000000000014</v>
      </c>
      <c r="M20" s="2">
        <f>IF(D20="X",G20*I20,0)</f>
        <v>921.60000000000014</v>
      </c>
      <c r="N20" s="2">
        <f>IF(D20="X",G20*J20,0)</f>
        <v>921.60000000000014</v>
      </c>
      <c r="P20" s="33">
        <v>12</v>
      </c>
      <c r="Q20" s="29">
        <f t="shared" si="5"/>
        <v>921.60000000000014</v>
      </c>
      <c r="S20" s="63"/>
      <c r="T20" s="63"/>
      <c r="U20" s="63"/>
    </row>
    <row r="21" spans="2:21" x14ac:dyDescent="0.25">
      <c r="C21" t="s">
        <v>36</v>
      </c>
      <c r="D21" s="27" t="s">
        <v>75</v>
      </c>
      <c r="E21" s="22">
        <v>6</v>
      </c>
      <c r="F21" s="15">
        <v>12.8</v>
      </c>
      <c r="G21" s="26">
        <f t="shared" ref="G21:G22" si="7">E21*F21</f>
        <v>76.800000000000011</v>
      </c>
      <c r="H21" s="22">
        <v>18</v>
      </c>
      <c r="I21" s="22">
        <v>18</v>
      </c>
      <c r="J21" s="22">
        <v>18</v>
      </c>
      <c r="L21" s="2">
        <f>IF(D21="X",G21*H21,0)</f>
        <v>1382.4</v>
      </c>
      <c r="M21" s="2">
        <f>IF(D21="X",G21*I21,0)</f>
        <v>1382.4</v>
      </c>
      <c r="N21" s="2">
        <f>IF(D21="X",G21*J21,0)</f>
        <v>1382.4</v>
      </c>
      <c r="P21" s="33">
        <v>18</v>
      </c>
      <c r="Q21" s="29">
        <f t="shared" si="5"/>
        <v>1382.4</v>
      </c>
      <c r="S21" s="63"/>
      <c r="T21" s="63"/>
      <c r="U21" s="63"/>
    </row>
    <row r="22" spans="2:21" x14ac:dyDescent="0.25">
      <c r="C22" t="s">
        <v>72</v>
      </c>
      <c r="D22" s="27" t="s">
        <v>75</v>
      </c>
      <c r="E22" s="22">
        <v>1.5</v>
      </c>
      <c r="F22" s="15">
        <v>12.8</v>
      </c>
      <c r="G22" s="26">
        <f t="shared" si="7"/>
        <v>19.200000000000003</v>
      </c>
      <c r="H22" s="22">
        <v>2</v>
      </c>
      <c r="I22" s="22">
        <v>2</v>
      </c>
      <c r="J22" s="22">
        <v>2</v>
      </c>
      <c r="L22" s="2">
        <f>IF(D22="X",G22*H22,0)</f>
        <v>38.400000000000006</v>
      </c>
      <c r="M22" s="2">
        <f>IF(D22="X",G22*I22,0)</f>
        <v>38.400000000000006</v>
      </c>
      <c r="N22" s="2">
        <f>IF(D22="X",G22*J22,0)</f>
        <v>38.400000000000006</v>
      </c>
      <c r="P22" s="33">
        <v>4</v>
      </c>
      <c r="Q22" s="29">
        <f t="shared" si="5"/>
        <v>76.800000000000011</v>
      </c>
      <c r="S22" s="63">
        <f>SUM(L4:L22)</f>
        <v>3527.0400000000004</v>
      </c>
      <c r="T22" s="63">
        <f>SUM(M4:M22)</f>
        <v>2992.6400000000003</v>
      </c>
      <c r="U22" s="63">
        <f>SUM(N4:N22)</f>
        <v>3439.3600000000006</v>
      </c>
    </row>
    <row r="23" spans="2:21" x14ac:dyDescent="0.25">
      <c r="E23" s="24"/>
      <c r="F23" s="2"/>
      <c r="G23" s="2"/>
      <c r="H23" s="24"/>
      <c r="I23" s="24"/>
      <c r="J23" s="24"/>
      <c r="L23" s="2"/>
      <c r="M23" s="2"/>
      <c r="N23" s="2"/>
      <c r="P23" s="34"/>
      <c r="Q23" s="29"/>
    </row>
    <row r="24" spans="2:21" x14ac:dyDescent="0.25">
      <c r="B24" t="s">
        <v>45</v>
      </c>
      <c r="E24" s="24"/>
      <c r="F24" s="2"/>
      <c r="G24" s="2"/>
      <c r="H24" s="24"/>
      <c r="I24" s="24"/>
      <c r="J24" s="24"/>
      <c r="L24" s="2"/>
      <c r="M24" s="2"/>
      <c r="N24" s="2"/>
      <c r="P24" s="34"/>
      <c r="Q24" s="29"/>
    </row>
    <row r="25" spans="2:21" x14ac:dyDescent="0.25">
      <c r="C25" t="s">
        <v>88</v>
      </c>
      <c r="D25" s="27" t="s">
        <v>75</v>
      </c>
      <c r="E25" s="22">
        <v>1.2</v>
      </c>
      <c r="F25" s="15">
        <v>12.8</v>
      </c>
      <c r="G25" s="26">
        <f>E25*F25</f>
        <v>15.36</v>
      </c>
      <c r="H25" s="22">
        <v>1</v>
      </c>
      <c r="I25" s="22">
        <v>1</v>
      </c>
      <c r="J25" s="22">
        <v>1</v>
      </c>
      <c r="L25" s="2">
        <f>IF(D25="X",G25*H25,0)</f>
        <v>15.36</v>
      </c>
      <c r="M25" s="2">
        <f>IF(D25="X",G25*I25,0)</f>
        <v>15.36</v>
      </c>
      <c r="N25" s="2">
        <f>IF(D25="X",G25*J25,0)</f>
        <v>15.36</v>
      </c>
      <c r="P25" s="33">
        <v>2</v>
      </c>
      <c r="Q25" s="29">
        <f>G25*P25</f>
        <v>30.72</v>
      </c>
    </row>
    <row r="26" spans="2:21" x14ac:dyDescent="0.25">
      <c r="C26" t="s">
        <v>46</v>
      </c>
      <c r="D26" s="27" t="s">
        <v>75</v>
      </c>
      <c r="E26" s="22">
        <v>5</v>
      </c>
      <c r="F26" s="15">
        <v>12.8</v>
      </c>
      <c r="G26" s="26">
        <f t="shared" ref="G26" si="8">E26*F26</f>
        <v>64</v>
      </c>
      <c r="H26" s="22">
        <v>1</v>
      </c>
      <c r="I26" s="22">
        <v>1</v>
      </c>
      <c r="J26" s="22">
        <v>1</v>
      </c>
      <c r="L26" s="2">
        <f>IF(D26="X",G26*H26,0)</f>
        <v>64</v>
      </c>
      <c r="M26" s="2">
        <f>IF(D26="X",G26*I26,0)</f>
        <v>64</v>
      </c>
      <c r="N26" s="2">
        <f>IF(D26="X",G26*J26,0)</f>
        <v>64</v>
      </c>
      <c r="P26" s="33">
        <v>2</v>
      </c>
      <c r="Q26" s="29">
        <f>G26*P26</f>
        <v>128</v>
      </c>
    </row>
    <row r="27" spans="2:21" x14ac:dyDescent="0.25">
      <c r="E27" s="24"/>
      <c r="F27" s="2"/>
      <c r="G27" s="2"/>
      <c r="H27" s="24"/>
      <c r="I27" s="24"/>
      <c r="J27" s="24"/>
      <c r="L27" s="2"/>
      <c r="M27" s="2"/>
      <c r="N27" s="2"/>
      <c r="P27" s="34"/>
      <c r="Q27" s="29"/>
    </row>
    <row r="28" spans="2:21" x14ac:dyDescent="0.25">
      <c r="B28" t="s">
        <v>77</v>
      </c>
      <c r="E28" s="24"/>
      <c r="F28" s="2"/>
      <c r="G28" s="2"/>
      <c r="H28" s="24"/>
      <c r="I28" s="24"/>
      <c r="J28" s="24"/>
      <c r="L28" s="2"/>
      <c r="M28" s="2"/>
      <c r="N28" s="2"/>
      <c r="P28" s="34"/>
      <c r="Q28" s="29"/>
    </row>
    <row r="29" spans="2:21" x14ac:dyDescent="0.25">
      <c r="C29" t="s">
        <v>26</v>
      </c>
      <c r="D29" s="27" t="s">
        <v>75</v>
      </c>
      <c r="E29" s="22">
        <v>2</v>
      </c>
      <c r="F29" s="15">
        <v>12.8</v>
      </c>
      <c r="G29" s="26">
        <f>E29*F29</f>
        <v>25.6</v>
      </c>
      <c r="H29" s="22">
        <v>2</v>
      </c>
      <c r="I29" s="22">
        <v>1</v>
      </c>
      <c r="J29" s="22">
        <v>4</v>
      </c>
      <c r="L29" s="2">
        <f>IF(D29="X",G29*H29,0)</f>
        <v>51.2</v>
      </c>
      <c r="M29" s="2">
        <f>IF(D29="X",G29*I29,0)</f>
        <v>25.6</v>
      </c>
      <c r="N29" s="2">
        <f>IF(D29="X",G29*J29,0)</f>
        <v>102.4</v>
      </c>
      <c r="P29" s="33">
        <v>5</v>
      </c>
      <c r="Q29" s="29">
        <f>G29*P29</f>
        <v>128</v>
      </c>
    </row>
    <row r="30" spans="2:21" x14ac:dyDescent="0.25">
      <c r="C30" t="s">
        <v>192</v>
      </c>
      <c r="D30" s="27" t="s">
        <v>75</v>
      </c>
      <c r="E30" s="22">
        <v>0.6</v>
      </c>
      <c r="F30" s="15">
        <v>12.8</v>
      </c>
      <c r="G30" s="26">
        <f>E30*F30</f>
        <v>7.68</v>
      </c>
      <c r="H30" s="22">
        <v>12</v>
      </c>
      <c r="I30" s="22">
        <v>12</v>
      </c>
      <c r="J30" s="22">
        <v>12</v>
      </c>
      <c r="L30" s="2">
        <f>IF(D30="X",G30*H30,0)</f>
        <v>92.16</v>
      </c>
      <c r="M30" s="2">
        <f>IF(D30="X",G30*I30,0)</f>
        <v>92.16</v>
      </c>
      <c r="N30" s="2">
        <f>IF(D30="X",G30*J30,0)</f>
        <v>92.16</v>
      </c>
      <c r="P30" s="33">
        <v>12</v>
      </c>
      <c r="Q30" s="29">
        <f>G30*P30</f>
        <v>92.16</v>
      </c>
    </row>
    <row r="31" spans="2:21" x14ac:dyDescent="0.25">
      <c r="E31" s="24"/>
      <c r="F31" s="2"/>
      <c r="G31" s="2"/>
      <c r="H31" s="24"/>
      <c r="I31" s="24"/>
      <c r="J31" s="24"/>
      <c r="L31" s="2"/>
      <c r="M31" s="2"/>
      <c r="N31" s="2"/>
      <c r="P31" s="34"/>
      <c r="Q31" s="29"/>
    </row>
    <row r="32" spans="2:21" x14ac:dyDescent="0.25">
      <c r="B32" t="s">
        <v>32</v>
      </c>
      <c r="E32" s="24"/>
      <c r="F32" s="2"/>
      <c r="G32" s="2"/>
      <c r="H32" s="24"/>
      <c r="I32" s="24"/>
      <c r="J32" s="24"/>
      <c r="L32" s="2"/>
      <c r="M32" s="2"/>
      <c r="N32" s="2"/>
      <c r="P32" s="34"/>
      <c r="Q32" s="29"/>
    </row>
    <row r="33" spans="2:21" x14ac:dyDescent="0.25">
      <c r="C33" t="s">
        <v>53</v>
      </c>
      <c r="D33" s="27" t="s">
        <v>75</v>
      </c>
      <c r="E33" s="22">
        <v>0.6</v>
      </c>
      <c r="F33" s="15">
        <v>12.8</v>
      </c>
      <c r="G33" s="26">
        <f>E33*F33</f>
        <v>7.68</v>
      </c>
      <c r="H33" s="22">
        <v>24</v>
      </c>
      <c r="I33" s="22">
        <v>24</v>
      </c>
      <c r="J33" s="22">
        <v>24</v>
      </c>
      <c r="L33" s="2">
        <f t="shared" ref="L33:L45" si="9">IF(D33="X",G33*H33,0)</f>
        <v>184.32</v>
      </c>
      <c r="M33" s="2">
        <f t="shared" ref="M33:M45" si="10">IF(D33="X",G33*I33,0)</f>
        <v>184.32</v>
      </c>
      <c r="N33" s="2">
        <f t="shared" ref="N33:N45" si="11">IF(D33="X",G33*J33,0)</f>
        <v>184.32</v>
      </c>
      <c r="P33" s="33">
        <v>24</v>
      </c>
      <c r="Q33" s="29">
        <f t="shared" ref="Q33:Q45" si="12">G33*P33</f>
        <v>184.32</v>
      </c>
      <c r="S33" s="63"/>
      <c r="T33" s="63"/>
      <c r="U33" s="63"/>
    </row>
    <row r="34" spans="2:21" x14ac:dyDescent="0.25">
      <c r="C34" t="s">
        <v>54</v>
      </c>
      <c r="D34" s="27" t="s">
        <v>75</v>
      </c>
      <c r="E34" s="22">
        <v>2</v>
      </c>
      <c r="F34" s="15">
        <v>12.8</v>
      </c>
      <c r="G34" s="26">
        <f t="shared" ref="G34:G44" si="13">E34*F34</f>
        <v>25.6</v>
      </c>
      <c r="H34" s="22">
        <v>1</v>
      </c>
      <c r="I34" s="22">
        <v>1</v>
      </c>
      <c r="J34" s="22">
        <v>6</v>
      </c>
      <c r="L34" s="2">
        <f t="shared" si="9"/>
        <v>25.6</v>
      </c>
      <c r="M34" s="2">
        <f t="shared" si="10"/>
        <v>25.6</v>
      </c>
      <c r="N34" s="2">
        <f t="shared" si="11"/>
        <v>153.60000000000002</v>
      </c>
      <c r="P34" s="33">
        <v>24</v>
      </c>
      <c r="Q34" s="29">
        <f t="shared" si="12"/>
        <v>614.40000000000009</v>
      </c>
      <c r="S34" s="63"/>
      <c r="T34" s="63"/>
      <c r="U34" s="63"/>
    </row>
    <row r="35" spans="2:21" x14ac:dyDescent="0.25">
      <c r="C35" t="s">
        <v>85</v>
      </c>
      <c r="D35" s="27" t="s">
        <v>75</v>
      </c>
      <c r="E35" s="22">
        <v>8</v>
      </c>
      <c r="F35" s="15">
        <v>12.8</v>
      </c>
      <c r="G35" s="26">
        <f t="shared" si="13"/>
        <v>102.4</v>
      </c>
      <c r="H35" s="22">
        <v>0</v>
      </c>
      <c r="I35" s="22">
        <v>0</v>
      </c>
      <c r="J35" s="22">
        <v>24</v>
      </c>
      <c r="L35" s="2">
        <f t="shared" si="9"/>
        <v>0</v>
      </c>
      <c r="M35" s="2">
        <f t="shared" si="10"/>
        <v>0</v>
      </c>
      <c r="N35" s="2">
        <f t="shared" si="11"/>
        <v>2457.6000000000004</v>
      </c>
      <c r="P35" s="33">
        <v>24</v>
      </c>
      <c r="Q35" s="29">
        <f t="shared" si="12"/>
        <v>2457.6000000000004</v>
      </c>
      <c r="S35" s="63"/>
      <c r="T35" s="63"/>
      <c r="U35" s="63"/>
    </row>
    <row r="36" spans="2:21" x14ac:dyDescent="0.25">
      <c r="C36" t="s">
        <v>21</v>
      </c>
      <c r="D36" s="27" t="s">
        <v>75</v>
      </c>
      <c r="E36" s="22">
        <v>0.2</v>
      </c>
      <c r="F36" s="15">
        <v>12.8</v>
      </c>
      <c r="G36" s="26">
        <f t="shared" si="13"/>
        <v>2.5600000000000005</v>
      </c>
      <c r="H36" s="22">
        <v>24</v>
      </c>
      <c r="I36" s="22">
        <v>0</v>
      </c>
      <c r="J36" s="22">
        <v>24</v>
      </c>
      <c r="L36" s="2">
        <f t="shared" si="9"/>
        <v>61.440000000000012</v>
      </c>
      <c r="M36" s="2">
        <f t="shared" si="10"/>
        <v>0</v>
      </c>
      <c r="N36" s="2">
        <f t="shared" si="11"/>
        <v>61.440000000000012</v>
      </c>
      <c r="P36" s="33">
        <v>24</v>
      </c>
      <c r="Q36" s="29">
        <f t="shared" si="12"/>
        <v>61.440000000000012</v>
      </c>
      <c r="S36" s="63"/>
      <c r="T36" s="63"/>
      <c r="U36" s="63"/>
    </row>
    <row r="37" spans="2:21" x14ac:dyDescent="0.25">
      <c r="C37" t="s">
        <v>22</v>
      </c>
      <c r="D37" s="27" t="s">
        <v>75</v>
      </c>
      <c r="E37" s="22">
        <v>5</v>
      </c>
      <c r="F37" s="15">
        <v>12.8</v>
      </c>
      <c r="G37" s="26">
        <f t="shared" si="13"/>
        <v>64</v>
      </c>
      <c r="H37" s="22">
        <v>0</v>
      </c>
      <c r="I37" s="22">
        <v>0</v>
      </c>
      <c r="J37" s="22">
        <v>0.1</v>
      </c>
      <c r="L37" s="2">
        <f t="shared" si="9"/>
        <v>0</v>
      </c>
      <c r="M37" s="2">
        <f t="shared" si="10"/>
        <v>0</v>
      </c>
      <c r="N37" s="2">
        <f t="shared" si="11"/>
        <v>6.4</v>
      </c>
      <c r="P37" s="33">
        <v>1</v>
      </c>
      <c r="Q37" s="29">
        <f t="shared" si="12"/>
        <v>64</v>
      </c>
      <c r="S37" s="63"/>
      <c r="T37" s="63"/>
      <c r="U37" s="63"/>
    </row>
    <row r="38" spans="2:21" x14ac:dyDescent="0.25">
      <c r="C38" t="s">
        <v>23</v>
      </c>
      <c r="D38" s="27" t="s">
        <v>75</v>
      </c>
      <c r="E38" s="22">
        <v>0.5</v>
      </c>
      <c r="F38" s="15">
        <v>12.8</v>
      </c>
      <c r="G38" s="26">
        <f t="shared" si="13"/>
        <v>6.4</v>
      </c>
      <c r="H38" s="22">
        <v>2</v>
      </c>
      <c r="I38" s="22">
        <v>0</v>
      </c>
      <c r="J38" s="22">
        <v>24</v>
      </c>
      <c r="L38" s="2">
        <f t="shared" si="9"/>
        <v>12.8</v>
      </c>
      <c r="M38" s="2">
        <f t="shared" si="10"/>
        <v>0</v>
      </c>
      <c r="N38" s="2">
        <f t="shared" si="11"/>
        <v>153.60000000000002</v>
      </c>
      <c r="P38" s="33">
        <v>24</v>
      </c>
      <c r="Q38" s="29">
        <f t="shared" si="12"/>
        <v>153.60000000000002</v>
      </c>
      <c r="S38" s="63"/>
      <c r="T38" s="63"/>
      <c r="U38" s="63"/>
    </row>
    <row r="39" spans="2:21" x14ac:dyDescent="0.25">
      <c r="C39" s="21" t="s">
        <v>79</v>
      </c>
      <c r="D39" s="27" t="s">
        <v>75</v>
      </c>
      <c r="E39" s="23">
        <v>1.5</v>
      </c>
      <c r="F39" s="15">
        <v>12.8</v>
      </c>
      <c r="G39" s="26">
        <f t="shared" si="13"/>
        <v>19.200000000000003</v>
      </c>
      <c r="H39" s="22">
        <v>0</v>
      </c>
      <c r="I39" s="22">
        <v>0</v>
      </c>
      <c r="J39" s="22">
        <v>24</v>
      </c>
      <c r="L39" s="2">
        <f t="shared" si="9"/>
        <v>0</v>
      </c>
      <c r="M39" s="2">
        <f t="shared" si="10"/>
        <v>0</v>
      </c>
      <c r="N39" s="2">
        <f t="shared" si="11"/>
        <v>460.80000000000007</v>
      </c>
      <c r="P39" s="33">
        <v>24</v>
      </c>
      <c r="Q39" s="29">
        <f t="shared" si="12"/>
        <v>460.80000000000007</v>
      </c>
      <c r="S39" s="63"/>
      <c r="T39" s="63"/>
      <c r="U39" s="63"/>
    </row>
    <row r="40" spans="2:21" x14ac:dyDescent="0.25">
      <c r="C40" s="21" t="s">
        <v>80</v>
      </c>
      <c r="D40" s="27" t="s">
        <v>75</v>
      </c>
      <c r="E40" s="23">
        <v>1.5</v>
      </c>
      <c r="F40" s="15">
        <v>12.8</v>
      </c>
      <c r="G40" s="26">
        <f t="shared" ref="G40" si="14">E40*F40</f>
        <v>19.200000000000003</v>
      </c>
      <c r="H40" s="22">
        <v>2</v>
      </c>
      <c r="I40" s="22">
        <v>0</v>
      </c>
      <c r="J40" s="22">
        <v>24</v>
      </c>
      <c r="L40" s="2">
        <f t="shared" si="9"/>
        <v>38.400000000000006</v>
      </c>
      <c r="M40" s="2">
        <f t="shared" si="10"/>
        <v>0</v>
      </c>
      <c r="N40" s="2">
        <f t="shared" si="11"/>
        <v>460.80000000000007</v>
      </c>
      <c r="P40" s="33">
        <v>24</v>
      </c>
      <c r="Q40" s="29">
        <f t="shared" si="12"/>
        <v>460.80000000000007</v>
      </c>
      <c r="S40" s="63"/>
      <c r="T40" s="63"/>
      <c r="U40" s="63"/>
    </row>
    <row r="41" spans="2:21" x14ac:dyDescent="0.25">
      <c r="C41" t="s">
        <v>81</v>
      </c>
      <c r="D41" s="27" t="s">
        <v>75</v>
      </c>
      <c r="E41" s="22">
        <v>0.5</v>
      </c>
      <c r="F41" s="15">
        <v>12.8</v>
      </c>
      <c r="G41" s="26">
        <f t="shared" si="13"/>
        <v>6.4</v>
      </c>
      <c r="H41" s="22">
        <v>3</v>
      </c>
      <c r="I41" s="22">
        <v>0</v>
      </c>
      <c r="J41" s="22">
        <v>24</v>
      </c>
      <c r="L41" s="2">
        <f t="shared" si="9"/>
        <v>19.200000000000003</v>
      </c>
      <c r="M41" s="2">
        <f t="shared" si="10"/>
        <v>0</v>
      </c>
      <c r="N41" s="2">
        <f t="shared" si="11"/>
        <v>153.60000000000002</v>
      </c>
      <c r="P41" s="33">
        <v>24</v>
      </c>
      <c r="Q41" s="29">
        <f t="shared" si="12"/>
        <v>153.60000000000002</v>
      </c>
      <c r="S41" s="63"/>
      <c r="T41" s="63"/>
      <c r="U41" s="63"/>
    </row>
    <row r="42" spans="2:21" x14ac:dyDescent="0.25">
      <c r="C42" s="21" t="s">
        <v>83</v>
      </c>
      <c r="D42" s="27" t="s">
        <v>75</v>
      </c>
      <c r="E42" s="23">
        <v>3.2</v>
      </c>
      <c r="F42" s="15">
        <v>12.8</v>
      </c>
      <c r="G42" s="26">
        <f t="shared" si="13"/>
        <v>40.960000000000008</v>
      </c>
      <c r="H42" s="22">
        <v>1</v>
      </c>
      <c r="I42" s="22">
        <v>0</v>
      </c>
      <c r="J42" s="22">
        <v>24</v>
      </c>
      <c r="L42" s="2">
        <f t="shared" si="9"/>
        <v>40.960000000000008</v>
      </c>
      <c r="M42" s="2">
        <f t="shared" si="10"/>
        <v>0</v>
      </c>
      <c r="N42" s="2">
        <f t="shared" si="11"/>
        <v>983.04000000000019</v>
      </c>
      <c r="P42" s="33">
        <v>24</v>
      </c>
      <c r="Q42" s="29">
        <f t="shared" si="12"/>
        <v>983.04000000000019</v>
      </c>
      <c r="S42" s="63"/>
      <c r="T42" s="63"/>
      <c r="U42" s="63"/>
    </row>
    <row r="43" spans="2:21" x14ac:dyDescent="0.25">
      <c r="C43" s="21" t="s">
        <v>82</v>
      </c>
      <c r="D43" s="27" t="s">
        <v>75</v>
      </c>
      <c r="E43" s="23">
        <v>0.4</v>
      </c>
      <c r="F43" s="15">
        <v>12.8</v>
      </c>
      <c r="G43" s="26">
        <f t="shared" si="13"/>
        <v>5.120000000000001</v>
      </c>
      <c r="H43" s="22">
        <v>24</v>
      </c>
      <c r="I43" s="22">
        <v>0</v>
      </c>
      <c r="J43" s="22">
        <v>24</v>
      </c>
      <c r="L43" s="2">
        <f t="shared" si="9"/>
        <v>122.88000000000002</v>
      </c>
      <c r="M43" s="2">
        <f t="shared" si="10"/>
        <v>0</v>
      </c>
      <c r="N43" s="2">
        <f t="shared" si="11"/>
        <v>122.88000000000002</v>
      </c>
      <c r="P43" s="33">
        <v>24</v>
      </c>
      <c r="Q43" s="29">
        <f t="shared" si="12"/>
        <v>122.88000000000002</v>
      </c>
      <c r="S43" s="63"/>
      <c r="T43" s="63"/>
      <c r="U43" s="63"/>
    </row>
    <row r="44" spans="2:21" x14ac:dyDescent="0.25">
      <c r="C44" s="21" t="s">
        <v>84</v>
      </c>
      <c r="D44" s="27" t="s">
        <v>75</v>
      </c>
      <c r="E44" s="23">
        <v>0.5</v>
      </c>
      <c r="F44" s="15">
        <v>12.8</v>
      </c>
      <c r="G44" s="26">
        <f t="shared" si="13"/>
        <v>6.4</v>
      </c>
      <c r="H44" s="22">
        <v>0</v>
      </c>
      <c r="I44" s="22">
        <v>0</v>
      </c>
      <c r="J44" s="22">
        <v>24</v>
      </c>
      <c r="L44" s="2">
        <f t="shared" si="9"/>
        <v>0</v>
      </c>
      <c r="M44" s="2">
        <f t="shared" si="10"/>
        <v>0</v>
      </c>
      <c r="N44" s="2">
        <f t="shared" si="11"/>
        <v>153.60000000000002</v>
      </c>
      <c r="P44" s="33">
        <v>24</v>
      </c>
      <c r="Q44" s="29">
        <f t="shared" si="12"/>
        <v>153.60000000000002</v>
      </c>
      <c r="S44" s="63"/>
      <c r="T44" s="63"/>
      <c r="U44" s="63"/>
    </row>
    <row r="45" spans="2:21" x14ac:dyDescent="0.25">
      <c r="C45" s="21" t="s">
        <v>78</v>
      </c>
      <c r="D45" s="27" t="s">
        <v>75</v>
      </c>
      <c r="E45" s="23">
        <v>0.5</v>
      </c>
      <c r="F45" s="15">
        <v>12.8</v>
      </c>
      <c r="G45" s="26">
        <f t="shared" ref="G45" si="15">E45*F45</f>
        <v>6.4</v>
      </c>
      <c r="H45" s="22">
        <v>12</v>
      </c>
      <c r="I45" s="22">
        <v>0</v>
      </c>
      <c r="J45" s="22">
        <v>0</v>
      </c>
      <c r="L45" s="2">
        <f t="shared" si="9"/>
        <v>76.800000000000011</v>
      </c>
      <c r="M45" s="2">
        <f t="shared" si="10"/>
        <v>0</v>
      </c>
      <c r="N45" s="2">
        <f t="shared" si="11"/>
        <v>0</v>
      </c>
      <c r="P45" s="33">
        <v>24</v>
      </c>
      <c r="Q45" s="29">
        <f t="shared" si="12"/>
        <v>153.60000000000002</v>
      </c>
      <c r="S45" s="63">
        <f>SUM(L33:L45)</f>
        <v>582.40000000000009</v>
      </c>
      <c r="T45" s="63">
        <f>SUM(M33:M45)</f>
        <v>209.92</v>
      </c>
      <c r="U45" s="63">
        <f>SUM(N33:N45)</f>
        <v>5351.6800000000012</v>
      </c>
    </row>
    <row r="46" spans="2:21" x14ac:dyDescent="0.25">
      <c r="E46" s="24"/>
      <c r="F46" s="24"/>
      <c r="G46" s="24"/>
      <c r="H46" s="24"/>
      <c r="I46" s="24"/>
      <c r="J46" s="24"/>
      <c r="L46" s="2"/>
      <c r="M46" s="2"/>
      <c r="N46" s="2"/>
      <c r="P46" s="34"/>
      <c r="Q46" s="29"/>
    </row>
    <row r="47" spans="2:21" x14ac:dyDescent="0.25">
      <c r="B47" t="s">
        <v>40</v>
      </c>
      <c r="E47" s="24"/>
      <c r="F47" s="24"/>
      <c r="G47" s="24"/>
      <c r="H47" s="24"/>
      <c r="I47" s="24"/>
      <c r="J47" s="24"/>
      <c r="L47" s="2"/>
      <c r="M47" s="2"/>
      <c r="N47" s="2"/>
      <c r="P47" s="34"/>
      <c r="Q47" s="29"/>
    </row>
    <row r="48" spans="2:21" x14ac:dyDescent="0.25">
      <c r="C48" s="21" t="s">
        <v>52</v>
      </c>
      <c r="D48" s="27" t="s">
        <v>75</v>
      </c>
      <c r="E48" s="22">
        <v>0.3</v>
      </c>
      <c r="F48" s="15">
        <v>12.8</v>
      </c>
      <c r="G48" s="26">
        <f>E48*F48</f>
        <v>3.84</v>
      </c>
      <c r="H48" s="22">
        <v>24</v>
      </c>
      <c r="I48" s="22">
        <v>24</v>
      </c>
      <c r="J48" s="22">
        <v>24</v>
      </c>
      <c r="L48" s="2">
        <f t="shared" ref="L48:L57" si="16">IF(D48="X",G48*H48,0)</f>
        <v>92.16</v>
      </c>
      <c r="M48" s="2">
        <f t="shared" ref="M48:M57" si="17">IF(D48="X",G48*I48,0)</f>
        <v>92.16</v>
      </c>
      <c r="N48" s="2">
        <f t="shared" ref="N48:N57" si="18">IF(D48="X",G48*J48,0)</f>
        <v>92.16</v>
      </c>
      <c r="P48" s="33">
        <v>24</v>
      </c>
      <c r="Q48" s="29">
        <f t="shared" ref="Q48:Q57" si="19">G48*P48</f>
        <v>92.16</v>
      </c>
      <c r="S48" s="63"/>
      <c r="T48" s="63"/>
      <c r="U48" s="63"/>
    </row>
    <row r="49" spans="1:21" x14ac:dyDescent="0.25">
      <c r="C49" t="s">
        <v>39</v>
      </c>
      <c r="D49" s="27" t="s">
        <v>75</v>
      </c>
      <c r="E49" s="22">
        <v>8</v>
      </c>
      <c r="F49" s="15">
        <v>12.8</v>
      </c>
      <c r="G49" s="26">
        <f t="shared" ref="G49:G57" si="20">E49*F49</f>
        <v>102.4</v>
      </c>
      <c r="H49" s="22">
        <v>16</v>
      </c>
      <c r="I49" s="22">
        <v>16</v>
      </c>
      <c r="J49" s="22">
        <v>2</v>
      </c>
      <c r="L49" s="2">
        <f t="shared" si="16"/>
        <v>1638.4</v>
      </c>
      <c r="M49" s="2">
        <f t="shared" si="17"/>
        <v>1638.4</v>
      </c>
      <c r="N49" s="2">
        <f t="shared" si="18"/>
        <v>204.8</v>
      </c>
      <c r="P49" s="33">
        <v>16</v>
      </c>
      <c r="Q49" s="29">
        <f t="shared" si="19"/>
        <v>1638.4</v>
      </c>
      <c r="S49" s="63"/>
      <c r="T49" s="63"/>
      <c r="U49" s="63"/>
    </row>
    <row r="50" spans="1:21" x14ac:dyDescent="0.25">
      <c r="C50" t="s">
        <v>66</v>
      </c>
      <c r="D50" s="27" t="s">
        <v>75</v>
      </c>
      <c r="E50" s="22">
        <v>1.5</v>
      </c>
      <c r="F50" s="15">
        <v>12.8</v>
      </c>
      <c r="G50" s="26">
        <f t="shared" si="20"/>
        <v>19.200000000000003</v>
      </c>
      <c r="H50" s="22">
        <v>10</v>
      </c>
      <c r="I50" s="22">
        <v>10</v>
      </c>
      <c r="J50" s="22">
        <v>1</v>
      </c>
      <c r="L50" s="2">
        <f t="shared" si="16"/>
        <v>192.00000000000003</v>
      </c>
      <c r="M50" s="2">
        <f t="shared" si="17"/>
        <v>192.00000000000003</v>
      </c>
      <c r="N50" s="2">
        <f t="shared" si="18"/>
        <v>19.200000000000003</v>
      </c>
      <c r="P50" s="33">
        <v>10</v>
      </c>
      <c r="Q50" s="29">
        <f t="shared" si="19"/>
        <v>192.00000000000003</v>
      </c>
      <c r="S50" s="63"/>
      <c r="T50" s="63"/>
      <c r="U50" s="63"/>
    </row>
    <row r="51" spans="1:21" x14ac:dyDescent="0.25">
      <c r="C51" t="s">
        <v>55</v>
      </c>
      <c r="D51" s="27" t="s">
        <v>75</v>
      </c>
      <c r="E51" s="22">
        <v>0.5</v>
      </c>
      <c r="F51" s="15">
        <v>12.8</v>
      </c>
      <c r="G51" s="26">
        <f t="shared" si="20"/>
        <v>6.4</v>
      </c>
      <c r="H51" s="22">
        <v>4</v>
      </c>
      <c r="I51" s="22">
        <v>4</v>
      </c>
      <c r="J51" s="22">
        <v>0</v>
      </c>
      <c r="L51" s="2">
        <f t="shared" si="16"/>
        <v>25.6</v>
      </c>
      <c r="M51" s="2">
        <f t="shared" si="17"/>
        <v>25.6</v>
      </c>
      <c r="N51" s="2">
        <f t="shared" si="18"/>
        <v>0</v>
      </c>
      <c r="P51" s="33">
        <v>4</v>
      </c>
      <c r="Q51" s="29">
        <f t="shared" si="19"/>
        <v>25.6</v>
      </c>
      <c r="S51" s="63"/>
      <c r="T51" s="63"/>
      <c r="U51" s="63"/>
    </row>
    <row r="52" spans="1:21" x14ac:dyDescent="0.25">
      <c r="C52" t="s">
        <v>57</v>
      </c>
      <c r="D52" s="27" t="s">
        <v>75</v>
      </c>
      <c r="E52" s="22">
        <v>7</v>
      </c>
      <c r="F52" s="15">
        <v>12.8</v>
      </c>
      <c r="G52" s="26">
        <f t="shared" si="20"/>
        <v>89.600000000000009</v>
      </c>
      <c r="H52" s="22">
        <v>10</v>
      </c>
      <c r="I52" s="22">
        <v>10</v>
      </c>
      <c r="J52" s="22">
        <v>1</v>
      </c>
      <c r="L52" s="2">
        <f t="shared" si="16"/>
        <v>896.00000000000011</v>
      </c>
      <c r="M52" s="2">
        <f t="shared" si="17"/>
        <v>896.00000000000011</v>
      </c>
      <c r="N52" s="2">
        <f t="shared" si="18"/>
        <v>89.600000000000009</v>
      </c>
      <c r="P52" s="33">
        <v>10</v>
      </c>
      <c r="Q52" s="29">
        <f t="shared" si="19"/>
        <v>896.00000000000011</v>
      </c>
      <c r="S52" s="63"/>
      <c r="T52" s="63"/>
      <c r="U52" s="63"/>
    </row>
    <row r="53" spans="1:21" x14ac:dyDescent="0.25">
      <c r="C53" t="s">
        <v>56</v>
      </c>
      <c r="D53" s="27" t="s">
        <v>75</v>
      </c>
      <c r="E53" s="22">
        <v>0.1</v>
      </c>
      <c r="F53" s="15">
        <v>12.8</v>
      </c>
      <c r="G53" s="26">
        <f t="shared" si="20"/>
        <v>1.2800000000000002</v>
      </c>
      <c r="H53" s="22">
        <v>4</v>
      </c>
      <c r="I53" s="22">
        <v>4</v>
      </c>
      <c r="J53" s="22">
        <v>0</v>
      </c>
      <c r="L53" s="2">
        <f t="shared" si="16"/>
        <v>5.120000000000001</v>
      </c>
      <c r="M53" s="2">
        <f t="shared" si="17"/>
        <v>5.120000000000001</v>
      </c>
      <c r="N53" s="2">
        <f t="shared" si="18"/>
        <v>0</v>
      </c>
      <c r="P53" s="33">
        <v>4</v>
      </c>
      <c r="Q53" s="29">
        <f t="shared" si="19"/>
        <v>5.120000000000001</v>
      </c>
      <c r="S53" s="63"/>
      <c r="T53" s="63"/>
      <c r="U53" s="63"/>
    </row>
    <row r="54" spans="1:21" x14ac:dyDescent="0.25">
      <c r="C54" t="s">
        <v>59</v>
      </c>
      <c r="D54" s="27" t="s">
        <v>75</v>
      </c>
      <c r="E54" s="22">
        <v>7</v>
      </c>
      <c r="F54" s="15">
        <v>12.8</v>
      </c>
      <c r="G54" s="26">
        <f t="shared" si="20"/>
        <v>89.600000000000009</v>
      </c>
      <c r="H54" s="22">
        <v>10</v>
      </c>
      <c r="I54" s="22">
        <v>10</v>
      </c>
      <c r="J54" s="22">
        <v>0</v>
      </c>
      <c r="L54" s="2">
        <f t="shared" si="16"/>
        <v>896.00000000000011</v>
      </c>
      <c r="M54" s="2">
        <f t="shared" si="17"/>
        <v>896.00000000000011</v>
      </c>
      <c r="N54" s="2">
        <f t="shared" si="18"/>
        <v>0</v>
      </c>
      <c r="P54" s="33">
        <v>10</v>
      </c>
      <c r="Q54" s="29">
        <f t="shared" si="19"/>
        <v>896.00000000000011</v>
      </c>
      <c r="S54" s="63"/>
      <c r="T54" s="63"/>
      <c r="U54" s="63"/>
    </row>
    <row r="55" spans="1:21" x14ac:dyDescent="0.25">
      <c r="C55" t="s">
        <v>60</v>
      </c>
      <c r="D55" s="27" t="s">
        <v>75</v>
      </c>
      <c r="E55" s="22">
        <v>0.1</v>
      </c>
      <c r="F55" s="15">
        <v>12.8</v>
      </c>
      <c r="G55" s="26">
        <f t="shared" si="20"/>
        <v>1.2800000000000002</v>
      </c>
      <c r="H55" s="22">
        <v>4</v>
      </c>
      <c r="I55" s="22">
        <v>4</v>
      </c>
      <c r="J55" s="22">
        <v>0</v>
      </c>
      <c r="L55" s="2">
        <f t="shared" si="16"/>
        <v>5.120000000000001</v>
      </c>
      <c r="M55" s="2">
        <f t="shared" si="17"/>
        <v>5.120000000000001</v>
      </c>
      <c r="N55" s="2">
        <f t="shared" si="18"/>
        <v>0</v>
      </c>
      <c r="P55" s="33">
        <v>4</v>
      </c>
      <c r="Q55" s="29">
        <f t="shared" si="19"/>
        <v>5.120000000000001</v>
      </c>
      <c r="S55" s="63"/>
      <c r="T55" s="63"/>
      <c r="U55" s="63"/>
    </row>
    <row r="56" spans="1:21" x14ac:dyDescent="0.25">
      <c r="A56" t="s">
        <v>58</v>
      </c>
      <c r="C56" t="s">
        <v>61</v>
      </c>
      <c r="D56" s="27" t="s">
        <v>75</v>
      </c>
      <c r="E56" s="22">
        <v>5</v>
      </c>
      <c r="F56" s="15">
        <v>12.8</v>
      </c>
      <c r="G56" s="26">
        <f t="shared" si="20"/>
        <v>64</v>
      </c>
      <c r="H56" s="22">
        <v>10</v>
      </c>
      <c r="I56" s="22">
        <v>10</v>
      </c>
      <c r="J56" s="22">
        <v>0</v>
      </c>
      <c r="L56" s="2">
        <f t="shared" si="16"/>
        <v>640</v>
      </c>
      <c r="M56" s="2">
        <f t="shared" si="17"/>
        <v>640</v>
      </c>
      <c r="N56" s="2">
        <f t="shared" si="18"/>
        <v>0</v>
      </c>
      <c r="P56" s="33">
        <v>10</v>
      </c>
      <c r="Q56" s="29">
        <f t="shared" si="19"/>
        <v>640</v>
      </c>
      <c r="S56" s="63"/>
      <c r="T56" s="63"/>
      <c r="U56" s="63"/>
    </row>
    <row r="57" spans="1:21" x14ac:dyDescent="0.25">
      <c r="C57" t="s">
        <v>62</v>
      </c>
      <c r="D57" s="27" t="s">
        <v>75</v>
      </c>
      <c r="E57" s="22">
        <v>0.1</v>
      </c>
      <c r="F57" s="15">
        <v>12.8</v>
      </c>
      <c r="G57" s="26">
        <f t="shared" si="20"/>
        <v>1.2800000000000002</v>
      </c>
      <c r="H57" s="22">
        <v>4</v>
      </c>
      <c r="I57" s="22">
        <v>4</v>
      </c>
      <c r="J57" s="22">
        <v>4</v>
      </c>
      <c r="L57" s="2">
        <f t="shared" si="16"/>
        <v>5.120000000000001</v>
      </c>
      <c r="M57" s="2">
        <f t="shared" si="17"/>
        <v>5.120000000000001</v>
      </c>
      <c r="N57" s="2">
        <f t="shared" si="18"/>
        <v>5.120000000000001</v>
      </c>
      <c r="P57" s="33">
        <v>4</v>
      </c>
      <c r="Q57" s="29">
        <f t="shared" si="19"/>
        <v>5.120000000000001</v>
      </c>
      <c r="S57" s="63">
        <f>SUM(L48:L57)</f>
        <v>4395.5199999999995</v>
      </c>
      <c r="T57" s="63">
        <f>SUM(M48:M57)</f>
        <v>4395.5199999999995</v>
      </c>
      <c r="U57" s="63">
        <f>SUM(N48:N57)</f>
        <v>410.88000000000005</v>
      </c>
    </row>
    <row r="58" spans="1:21" x14ac:dyDescent="0.25">
      <c r="F58"/>
      <c r="G58"/>
      <c r="L58" s="2"/>
      <c r="M58" s="2"/>
      <c r="N58" s="2"/>
      <c r="P58" s="32"/>
      <c r="Q58" s="29"/>
    </row>
    <row r="59" spans="1:21" x14ac:dyDescent="0.25">
      <c r="B59" t="s">
        <v>86</v>
      </c>
      <c r="F59"/>
      <c r="G59"/>
      <c r="L59" s="2"/>
      <c r="M59" s="2"/>
      <c r="N59" s="2"/>
      <c r="P59" s="32"/>
      <c r="Q59" s="29"/>
    </row>
    <row r="60" spans="1:21" x14ac:dyDescent="0.25">
      <c r="C60" t="s">
        <v>87</v>
      </c>
      <c r="D60" s="27" t="s">
        <v>75</v>
      </c>
      <c r="E60" s="22">
        <v>1.2</v>
      </c>
      <c r="F60" s="15">
        <v>12.8</v>
      </c>
      <c r="G60" s="26">
        <f>E60*F60</f>
        <v>15.36</v>
      </c>
      <c r="H60" s="22">
        <v>1</v>
      </c>
      <c r="I60" s="22">
        <v>1</v>
      </c>
      <c r="J60" s="22">
        <v>1</v>
      </c>
      <c r="L60" s="2">
        <f>IF(D60="X",G60*H60,0)</f>
        <v>15.36</v>
      </c>
      <c r="M60" s="2">
        <f>IF(D60="X",G60*I60,0)</f>
        <v>15.36</v>
      </c>
      <c r="N60" s="2">
        <f>IF(D60="X",G60*J60,0)</f>
        <v>15.36</v>
      </c>
      <c r="P60" s="33">
        <v>1</v>
      </c>
      <c r="Q60" s="29">
        <f>G60*P60</f>
        <v>15.36</v>
      </c>
    </row>
    <row r="61" spans="1:21" x14ac:dyDescent="0.25">
      <c r="C61" t="s">
        <v>41</v>
      </c>
      <c r="D61" s="27" t="s">
        <v>75</v>
      </c>
      <c r="E61" s="22">
        <v>4</v>
      </c>
      <c r="F61" s="15">
        <v>12.8</v>
      </c>
      <c r="G61" s="26">
        <f>E61*F61</f>
        <v>51.2</v>
      </c>
      <c r="H61" s="22">
        <v>0.5</v>
      </c>
      <c r="I61" s="22">
        <v>0.5</v>
      </c>
      <c r="J61" s="22">
        <v>0.5</v>
      </c>
      <c r="L61" s="2">
        <f>IF(D61="X",G61*H61,0)</f>
        <v>25.6</v>
      </c>
      <c r="M61" s="2">
        <f>IF(D61="X",G61*I61,0)</f>
        <v>25.6</v>
      </c>
      <c r="N61" s="2">
        <f>IF(D61="X",G61*J61,0)</f>
        <v>25.6</v>
      </c>
      <c r="P61" s="33">
        <v>1</v>
      </c>
      <c r="Q61" s="29">
        <f>G61*P61</f>
        <v>51.2</v>
      </c>
    </row>
    <row r="62" spans="1:21" x14ac:dyDescent="0.25">
      <c r="C62" t="s">
        <v>42</v>
      </c>
      <c r="D62" s="27" t="s">
        <v>75</v>
      </c>
      <c r="E62" s="23">
        <v>1.25</v>
      </c>
      <c r="F62" s="15">
        <v>12.8</v>
      </c>
      <c r="G62" s="26">
        <f>E62*F62</f>
        <v>16</v>
      </c>
      <c r="H62" s="22">
        <v>20</v>
      </c>
      <c r="I62" s="22">
        <v>20</v>
      </c>
      <c r="J62" s="22">
        <v>12</v>
      </c>
      <c r="L62" s="2">
        <f>IF(D62="X",G62*H62,0)</f>
        <v>320</v>
      </c>
      <c r="M62" s="2">
        <f>IF(D62="X",G62*I62,0)</f>
        <v>320</v>
      </c>
      <c r="N62" s="2">
        <f>IF(D62="X",G62*J62,0)</f>
        <v>192</v>
      </c>
      <c r="P62" s="33">
        <v>20</v>
      </c>
      <c r="Q62" s="29">
        <f>G62*P62</f>
        <v>320</v>
      </c>
    </row>
    <row r="63" spans="1:21" x14ac:dyDescent="0.25">
      <c r="F63"/>
      <c r="G63"/>
      <c r="L63" s="2"/>
      <c r="M63" s="2"/>
      <c r="N63" s="2"/>
      <c r="P63" s="32"/>
      <c r="Q63" s="29"/>
    </row>
    <row r="64" spans="1:21" x14ac:dyDescent="0.25">
      <c r="B64" t="s">
        <v>89</v>
      </c>
      <c r="C64">
        <v>3</v>
      </c>
      <c r="F64"/>
      <c r="G64"/>
      <c r="L64" s="2"/>
      <c r="M64" s="2"/>
      <c r="N64" s="2"/>
      <c r="P64" s="32"/>
      <c r="Q64" s="29"/>
    </row>
    <row r="65" spans="2:17" x14ac:dyDescent="0.25">
      <c r="C65" t="s">
        <v>87</v>
      </c>
      <c r="D65" s="27" t="s">
        <v>75</v>
      </c>
      <c r="E65" s="22">
        <v>1.2</v>
      </c>
      <c r="F65" s="15">
        <v>12.8</v>
      </c>
      <c r="G65" s="26">
        <f>E65*F65*$C$64</f>
        <v>46.08</v>
      </c>
      <c r="H65" s="22">
        <v>1</v>
      </c>
      <c r="I65" s="22">
        <v>1</v>
      </c>
      <c r="J65" s="22">
        <v>1</v>
      </c>
      <c r="L65" s="2">
        <f>IF(D65="X",G65*H65,0)</f>
        <v>46.08</v>
      </c>
      <c r="M65" s="2">
        <f>IF(D65="X",G65*I65,0)</f>
        <v>46.08</v>
      </c>
      <c r="N65" s="2">
        <f>IF(D65="X",G65*J65,0)</f>
        <v>46.08</v>
      </c>
      <c r="P65" s="33">
        <v>0</v>
      </c>
      <c r="Q65" s="29">
        <f>G65*P65</f>
        <v>0</v>
      </c>
    </row>
    <row r="66" spans="2:17" x14ac:dyDescent="0.25">
      <c r="C66" t="s">
        <v>41</v>
      </c>
      <c r="D66" s="27" t="s">
        <v>75</v>
      </c>
      <c r="E66" s="22">
        <v>4</v>
      </c>
      <c r="F66" s="15">
        <v>12.8</v>
      </c>
      <c r="G66" s="26">
        <f t="shared" ref="G66:G67" si="21">E66*F66*$C$64</f>
        <v>153.60000000000002</v>
      </c>
      <c r="H66" s="22">
        <v>0.5</v>
      </c>
      <c r="I66" s="22">
        <v>0.5</v>
      </c>
      <c r="J66" s="22">
        <v>0.5</v>
      </c>
      <c r="L66" s="2">
        <f>IF(D66="X",G66*H66,0)</f>
        <v>76.800000000000011</v>
      </c>
      <c r="M66" s="2">
        <f>IF(D66="X",G66*I66,0)</f>
        <v>76.800000000000011</v>
      </c>
      <c r="N66" s="2">
        <f>IF(D66="X",G66*J66,0)</f>
        <v>76.800000000000011</v>
      </c>
      <c r="P66" s="33">
        <v>0</v>
      </c>
      <c r="Q66" s="29">
        <f>G66*P66</f>
        <v>0</v>
      </c>
    </row>
    <row r="67" spans="2:17" x14ac:dyDescent="0.25">
      <c r="C67" t="s">
        <v>42</v>
      </c>
      <c r="D67" s="27" t="s">
        <v>75</v>
      </c>
      <c r="E67" s="22">
        <v>1.25</v>
      </c>
      <c r="F67" s="15">
        <v>12.8</v>
      </c>
      <c r="G67" s="26">
        <f t="shared" si="21"/>
        <v>48</v>
      </c>
      <c r="H67" s="22">
        <v>16</v>
      </c>
      <c r="I67" s="22">
        <v>16</v>
      </c>
      <c r="J67" s="22">
        <v>12</v>
      </c>
      <c r="L67" s="2">
        <f>IF(D67="X",G67*H67,0)</f>
        <v>768</v>
      </c>
      <c r="M67" s="2">
        <f>IF(D67="X",G67*I67,0)</f>
        <v>768</v>
      </c>
      <c r="N67" s="2">
        <f>IF(D67="X",G67*J67,0)</f>
        <v>576</v>
      </c>
      <c r="P67" s="33">
        <v>0</v>
      </c>
      <c r="Q67" s="29">
        <f>G67*P67</f>
        <v>0</v>
      </c>
    </row>
    <row r="68" spans="2:17" x14ac:dyDescent="0.25">
      <c r="F68"/>
      <c r="G68"/>
      <c r="L68" s="2"/>
      <c r="M68" s="2"/>
      <c r="N68" s="2"/>
      <c r="P68" s="32"/>
      <c r="Q68" s="29"/>
    </row>
    <row r="69" spans="2:17" x14ac:dyDescent="0.25">
      <c r="B69" t="s">
        <v>70</v>
      </c>
      <c r="E69" s="24"/>
      <c r="F69" s="2"/>
      <c r="G69" s="2"/>
      <c r="H69" s="24"/>
      <c r="I69" s="24"/>
      <c r="J69" s="24"/>
      <c r="L69" s="2"/>
      <c r="M69" s="2"/>
      <c r="N69" s="2"/>
      <c r="P69" s="34"/>
      <c r="Q69" s="29"/>
    </row>
    <row r="70" spans="2:17" x14ac:dyDescent="0.25">
      <c r="C70" t="s">
        <v>44</v>
      </c>
      <c r="D70" s="27" t="s">
        <v>75</v>
      </c>
      <c r="E70" s="26">
        <f>G70/12.8</f>
        <v>78.125</v>
      </c>
      <c r="F70" s="15">
        <v>240</v>
      </c>
      <c r="G70" s="15">
        <v>1000</v>
      </c>
      <c r="H70" s="22">
        <v>0.03</v>
      </c>
      <c r="I70" s="22">
        <v>0.03</v>
      </c>
      <c r="J70" s="22">
        <v>0</v>
      </c>
      <c r="L70" s="2">
        <f>IF(D70="X",G70*H70,0)</f>
        <v>30</v>
      </c>
      <c r="M70" s="2">
        <f>IF(D70="X",G70*I70,0)</f>
        <v>30</v>
      </c>
      <c r="N70" s="2">
        <f>IF(D70="X",G70*J70,0)</f>
        <v>0</v>
      </c>
      <c r="P70" s="33">
        <v>0.03</v>
      </c>
      <c r="Q70" s="29">
        <f>G70*P70</f>
        <v>30</v>
      </c>
    </row>
    <row r="71" spans="2:17" x14ac:dyDescent="0.25">
      <c r="C71" t="s">
        <v>51</v>
      </c>
      <c r="D71" s="27" t="s">
        <v>75</v>
      </c>
      <c r="E71" s="26">
        <f t="shared" ref="E71:E72" si="22">G71/12.8</f>
        <v>62.5</v>
      </c>
      <c r="F71" s="15">
        <v>240</v>
      </c>
      <c r="G71" s="15">
        <v>800</v>
      </c>
      <c r="H71" s="22">
        <v>0.1</v>
      </c>
      <c r="I71" s="22">
        <v>0.1</v>
      </c>
      <c r="J71" s="22">
        <v>0.2</v>
      </c>
      <c r="L71" s="2">
        <f>IF(D71="X",G71*H71,0)</f>
        <v>80</v>
      </c>
      <c r="M71" s="2">
        <f>IF(D71="X",G71*I71,0)</f>
        <v>80</v>
      </c>
      <c r="N71" s="2">
        <f>IF(D71="X",G71*J71,0)</f>
        <v>160</v>
      </c>
      <c r="P71" s="33">
        <v>0.5</v>
      </c>
      <c r="Q71" s="29">
        <f>G71*P71</f>
        <v>400</v>
      </c>
    </row>
    <row r="72" spans="2:17" x14ac:dyDescent="0.25">
      <c r="C72" t="s">
        <v>69</v>
      </c>
      <c r="D72" s="27" t="s">
        <v>76</v>
      </c>
      <c r="E72" s="26">
        <f t="shared" si="22"/>
        <v>140.625</v>
      </c>
      <c r="F72" s="15">
        <v>240</v>
      </c>
      <c r="G72" s="15">
        <v>1800</v>
      </c>
      <c r="H72" s="22">
        <v>0.5</v>
      </c>
      <c r="I72" s="22">
        <v>0.5</v>
      </c>
      <c r="J72" s="22">
        <v>0.5</v>
      </c>
      <c r="L72" s="2">
        <f>IF(D72="X",G72*H72,0)</f>
        <v>0</v>
      </c>
      <c r="M72" s="2">
        <f>IF(D72="X",G72*I72,0)</f>
        <v>0</v>
      </c>
      <c r="N72" s="2">
        <f>IF(D72="X",G72*J72,0)</f>
        <v>0</v>
      </c>
      <c r="P72" s="33">
        <v>1</v>
      </c>
      <c r="Q72" s="29">
        <f>G72*P72</f>
        <v>1800</v>
      </c>
    </row>
    <row r="73" spans="2:17" x14ac:dyDescent="0.25">
      <c r="L73" s="2"/>
      <c r="M73" s="2"/>
      <c r="N73" s="2"/>
      <c r="P73" s="32"/>
      <c r="Q73" s="29"/>
    </row>
    <row r="74" spans="2:17" x14ac:dyDescent="0.25">
      <c r="L74" s="2"/>
      <c r="M74" s="2"/>
      <c r="N74" s="2"/>
      <c r="P74" s="32"/>
      <c r="Q74" s="29"/>
    </row>
    <row r="75" spans="2:17" x14ac:dyDescent="0.25">
      <c r="L75" s="2">
        <f>SUM(L4:L74)</f>
        <v>10089.520000000002</v>
      </c>
      <c r="M75" s="2">
        <f>SUM(M4:M74)</f>
        <v>9157.0399999999991</v>
      </c>
      <c r="N75" s="2">
        <f>SUM(N4:N74)</f>
        <v>10567.680000000002</v>
      </c>
      <c r="P75" s="35"/>
      <c r="Q75" s="30">
        <f>SUM(Q4:Q74)</f>
        <v>19401.200000000004</v>
      </c>
    </row>
  </sheetData>
  <conditionalFormatting sqref="D4:D72">
    <cfRule type="containsText" dxfId="170" priority="12" operator="containsText" text="X">
      <formula>NOT(ISERROR(SEARCH("X",D4)))</formula>
    </cfRule>
    <cfRule type="notContainsText" dxfId="169" priority="13" operator="notContains" text="X">
      <formula>ISERROR(SEARCH("X",D4))</formula>
    </cfRule>
  </conditionalFormatting>
  <conditionalFormatting sqref="E4:E57 E69:E72">
    <cfRule type="cellIs" dxfId="168" priority="17" operator="greaterThan">
      <formula>20</formula>
    </cfRule>
    <cfRule type="cellIs" dxfId="167" priority="18" operator="greaterThan">
      <formula>5</formula>
    </cfRule>
  </conditionalFormatting>
  <conditionalFormatting sqref="E60:E62">
    <cfRule type="cellIs" dxfId="166" priority="2" operator="greaterThan">
      <formula>20</formula>
    </cfRule>
    <cfRule type="cellIs" dxfId="165" priority="3" operator="greaterThan">
      <formula>5</formula>
    </cfRule>
  </conditionalFormatting>
  <conditionalFormatting sqref="E65:E67">
    <cfRule type="cellIs" dxfId="164" priority="4" operator="greaterThan">
      <formula>20</formula>
    </cfRule>
    <cfRule type="cellIs" dxfId="163" priority="5" operator="greaterThan">
      <formula>5</formula>
    </cfRule>
  </conditionalFormatting>
  <conditionalFormatting sqref="L4:Q72">
    <cfRule type="cellIs" dxfId="162" priority="19" stopIfTrue="1" operator="greaterThan">
      <formula>1000</formula>
    </cfRule>
    <cfRule type="cellIs" dxfId="161" priority="20" stopIfTrue="1" operator="greaterThan">
      <formula>500</formula>
    </cfRule>
    <cfRule type="cellIs" dxfId="160" priority="21" stopIfTrue="1" operator="greater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59777-A94F-4949-BA05-6E3953D30782}">
  <sheetPr codeName="Sheet5"/>
  <dimension ref="B2:P21"/>
  <sheetViews>
    <sheetView workbookViewId="0"/>
  </sheetViews>
  <sheetFormatPr defaultRowHeight="15" x14ac:dyDescent="0.25"/>
  <cols>
    <col min="2" max="2" width="46.42578125" customWidth="1"/>
    <col min="3" max="4" width="11" customWidth="1"/>
    <col min="5" max="5" width="5.140625" style="4" customWidth="1"/>
    <col min="6" max="7" width="9.28515625" bestFit="1" customWidth="1"/>
    <col min="8" max="9" width="10.140625" bestFit="1" customWidth="1"/>
    <col min="10" max="10" width="4.42578125" customWidth="1"/>
    <col min="11" max="11" width="14" style="36" customWidth="1"/>
    <col min="12" max="12" width="6.42578125" style="36" customWidth="1"/>
    <col min="13" max="13" width="14" customWidth="1"/>
    <col min="14" max="14" width="12.7109375" customWidth="1"/>
    <col min="15" max="15" width="13.85546875" customWidth="1"/>
    <col min="16" max="16" width="15" customWidth="1"/>
  </cols>
  <sheetData>
    <row r="2" spans="2:16" s="8" customFormat="1" ht="49.5" customHeight="1" x14ac:dyDescent="0.25">
      <c r="C2" s="8" t="s">
        <v>97</v>
      </c>
      <c r="D2" s="8" t="s">
        <v>98</v>
      </c>
      <c r="E2" s="39"/>
      <c r="F2" s="169" t="s">
        <v>95</v>
      </c>
      <c r="G2" s="169"/>
      <c r="H2" s="169"/>
      <c r="I2" s="169"/>
      <c r="K2" s="40" t="s">
        <v>94</v>
      </c>
      <c r="L2" s="40"/>
      <c r="M2" s="8" t="s">
        <v>99</v>
      </c>
      <c r="N2" s="8" t="s">
        <v>96</v>
      </c>
    </row>
    <row r="4" spans="2:16" x14ac:dyDescent="0.25">
      <c r="F4" s="25">
        <v>0.1</v>
      </c>
      <c r="G4" s="25">
        <v>0.3</v>
      </c>
      <c r="H4" s="25">
        <v>0.5</v>
      </c>
      <c r="I4" s="25">
        <v>0.9</v>
      </c>
    </row>
    <row r="6" spans="2:16" x14ac:dyDescent="0.25">
      <c r="B6" t="s">
        <v>68</v>
      </c>
      <c r="C6" s="37">
        <v>2150</v>
      </c>
      <c r="D6" s="37">
        <v>1900</v>
      </c>
      <c r="E6" s="36"/>
      <c r="F6" s="37">
        <v>1</v>
      </c>
      <c r="G6" s="37">
        <v>2</v>
      </c>
      <c r="H6" s="37">
        <v>4</v>
      </c>
      <c r="I6" s="37">
        <v>3</v>
      </c>
      <c r="N6" s="36"/>
      <c r="O6" s="42"/>
    </row>
    <row r="7" spans="2:16" x14ac:dyDescent="0.25">
      <c r="C7" s="36"/>
      <c r="D7" s="36"/>
      <c r="E7" s="36"/>
      <c r="F7" s="36">
        <f>$D$6*F6*0.1</f>
        <v>190</v>
      </c>
      <c r="G7" s="36">
        <f>$D$6*G6*0.3</f>
        <v>1140</v>
      </c>
      <c r="H7" s="36">
        <f>$D$6*H6*0.5</f>
        <v>3800</v>
      </c>
      <c r="I7" s="36">
        <f>$D$6*I6*0.9</f>
        <v>5130</v>
      </c>
      <c r="K7" s="36">
        <f>SUM(F7:J7)</f>
        <v>10260</v>
      </c>
      <c r="M7" s="38">
        <f>K7</f>
        <v>10260</v>
      </c>
      <c r="N7" s="36">
        <f>C6/12.8</f>
        <v>167.96875</v>
      </c>
      <c r="P7" s="14"/>
    </row>
    <row r="8" spans="2:16" x14ac:dyDescent="0.25">
      <c r="C8" s="36"/>
      <c r="D8" s="36"/>
      <c r="E8" s="36"/>
      <c r="F8" s="36"/>
      <c r="G8" s="36"/>
      <c r="H8" s="36"/>
      <c r="I8" s="36"/>
    </row>
    <row r="9" spans="2:16" x14ac:dyDescent="0.25">
      <c r="B9" t="s">
        <v>100</v>
      </c>
      <c r="C9" s="37">
        <v>2560</v>
      </c>
      <c r="D9" s="37">
        <v>1850</v>
      </c>
      <c r="E9" s="36"/>
      <c r="F9" s="43">
        <v>0</v>
      </c>
      <c r="G9" s="36"/>
      <c r="H9" s="36"/>
      <c r="I9" s="36"/>
      <c r="K9" s="36">
        <f>F9*D9</f>
        <v>0</v>
      </c>
      <c r="M9" s="38">
        <f>K9</f>
        <v>0</v>
      </c>
      <c r="N9" s="36">
        <f>C9/12.8</f>
        <v>200</v>
      </c>
      <c r="O9" s="42"/>
      <c r="P9" s="14"/>
    </row>
    <row r="10" spans="2:16" x14ac:dyDescent="0.25">
      <c r="C10" s="36"/>
      <c r="D10" s="36"/>
      <c r="E10" s="36"/>
      <c r="F10" s="36"/>
      <c r="G10" s="36"/>
      <c r="H10" s="36"/>
      <c r="I10" s="36"/>
    </row>
    <row r="11" spans="2:16" x14ac:dyDescent="0.25">
      <c r="B11" t="s">
        <v>115</v>
      </c>
      <c r="C11" s="37">
        <v>600</v>
      </c>
      <c r="D11" s="37">
        <v>600</v>
      </c>
      <c r="E11" s="36"/>
      <c r="F11" s="43">
        <v>0</v>
      </c>
      <c r="G11" s="36"/>
      <c r="H11" s="36"/>
      <c r="I11" s="36"/>
      <c r="K11" s="36">
        <f>F11*D11</f>
        <v>0</v>
      </c>
      <c r="M11" s="38">
        <f>K11</f>
        <v>0</v>
      </c>
      <c r="N11" s="36">
        <f>C11/12.8</f>
        <v>46.875</v>
      </c>
      <c r="O11" s="42"/>
      <c r="P11" s="14"/>
    </row>
    <row r="12" spans="2:16" x14ac:dyDescent="0.25">
      <c r="C12" s="36"/>
      <c r="D12" s="36"/>
      <c r="E12" s="36"/>
      <c r="F12" s="36"/>
      <c r="G12" s="36"/>
      <c r="H12" s="36"/>
      <c r="I12" s="36"/>
    </row>
    <row r="13" spans="2:16" x14ac:dyDescent="0.25">
      <c r="B13" t="s">
        <v>92</v>
      </c>
      <c r="C13" s="37">
        <v>1540</v>
      </c>
      <c r="D13" s="37">
        <v>1540</v>
      </c>
      <c r="E13" s="36"/>
      <c r="F13" s="43">
        <v>0</v>
      </c>
      <c r="G13" s="36"/>
      <c r="H13" s="36"/>
      <c r="I13" s="36"/>
      <c r="K13" s="36">
        <f>F13*D13</f>
        <v>0</v>
      </c>
      <c r="N13" s="36">
        <f>C13/12.8</f>
        <v>120.3125</v>
      </c>
      <c r="O13" s="42"/>
      <c r="P13" s="14"/>
    </row>
    <row r="14" spans="2:16" x14ac:dyDescent="0.25">
      <c r="C14" s="36"/>
      <c r="D14" s="36"/>
      <c r="E14" s="36"/>
      <c r="F14" s="36"/>
      <c r="G14" s="36"/>
      <c r="H14" s="36"/>
      <c r="I14" s="36"/>
      <c r="P14" s="14"/>
    </row>
    <row r="15" spans="2:16" x14ac:dyDescent="0.25">
      <c r="B15" t="s">
        <v>93</v>
      </c>
      <c r="C15" s="37">
        <v>1540</v>
      </c>
      <c r="D15" s="37">
        <v>1540</v>
      </c>
      <c r="E15" s="36"/>
      <c r="F15" s="43">
        <v>0</v>
      </c>
      <c r="G15" s="36"/>
      <c r="H15" s="36"/>
      <c r="I15" s="36"/>
      <c r="K15" s="36">
        <f>F15*D15</f>
        <v>0</v>
      </c>
      <c r="P15" s="14"/>
    </row>
    <row r="17" spans="2:16" x14ac:dyDescent="0.25">
      <c r="C17" s="36"/>
      <c r="D17" s="36"/>
      <c r="E17" s="36"/>
      <c r="F17" s="36"/>
      <c r="G17" s="36"/>
      <c r="H17" s="36"/>
      <c r="I17" s="36"/>
    </row>
    <row r="18" spans="2:16" x14ac:dyDescent="0.25">
      <c r="B18" t="s">
        <v>67</v>
      </c>
      <c r="C18" s="37">
        <v>400</v>
      </c>
      <c r="D18" s="37">
        <v>400</v>
      </c>
      <c r="E18" s="36"/>
      <c r="F18" s="37">
        <v>10</v>
      </c>
      <c r="G18" s="37">
        <v>6</v>
      </c>
      <c r="H18" s="37">
        <v>2</v>
      </c>
      <c r="I18" s="37">
        <v>0.1</v>
      </c>
      <c r="N18" s="36"/>
      <c r="O18" s="42"/>
    </row>
    <row r="19" spans="2:16" x14ac:dyDescent="0.25">
      <c r="C19" s="36"/>
      <c r="D19" s="36"/>
      <c r="E19" s="36"/>
      <c r="F19" s="36">
        <f>$D$18*F18*0.1</f>
        <v>400</v>
      </c>
      <c r="G19" s="36">
        <f>$D$18*G18*0.3</f>
        <v>720</v>
      </c>
      <c r="H19" s="36">
        <f>$D$18*H18*0.5</f>
        <v>400</v>
      </c>
      <c r="I19" s="36">
        <f>$D$18*I18*0.9</f>
        <v>36</v>
      </c>
      <c r="K19" s="36">
        <f>SUM(F19:J19)</f>
        <v>1556</v>
      </c>
      <c r="P19" s="14"/>
    </row>
    <row r="21" spans="2:16" x14ac:dyDescent="0.25">
      <c r="K21" s="41"/>
      <c r="L21" s="41"/>
      <c r="M21" s="45">
        <f>SUM(M4:M20)</f>
        <v>10260</v>
      </c>
      <c r="N21" s="44">
        <f>SUM(N4:N20)</f>
        <v>535.15625</v>
      </c>
      <c r="O21" s="44"/>
    </row>
  </sheetData>
  <mergeCells count="1">
    <mergeCell ref="F2:I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D9B02-B2BC-4468-8D42-C3F9CC939574}">
  <sheetPr codeName="Sheet6"/>
  <dimension ref="B2:H37"/>
  <sheetViews>
    <sheetView workbookViewId="0">
      <selection activeCell="E12" sqref="E12"/>
    </sheetView>
  </sheetViews>
  <sheetFormatPr defaultRowHeight="15" x14ac:dyDescent="0.25"/>
  <cols>
    <col min="1" max="1" width="4.42578125" customWidth="1"/>
    <col min="2" max="2" width="4.140625" customWidth="1"/>
    <col min="3" max="3" width="30.140625" customWidth="1"/>
    <col min="4" max="4" width="15.28515625" style="108" customWidth="1"/>
    <col min="5" max="5" width="15.7109375" style="108" customWidth="1"/>
    <col min="6" max="7" width="15.5703125" style="108" customWidth="1"/>
    <col min="8" max="8" width="14.28515625" customWidth="1"/>
  </cols>
  <sheetData>
    <row r="2" spans="2:3" x14ac:dyDescent="0.25">
      <c r="B2" t="s">
        <v>627</v>
      </c>
    </row>
    <row r="3" spans="2:3" x14ac:dyDescent="0.25">
      <c r="C3" t="s">
        <v>588</v>
      </c>
    </row>
    <row r="4" spans="2:3" x14ac:dyDescent="0.25">
      <c r="C4" t="s">
        <v>589</v>
      </c>
    </row>
    <row r="5" spans="2:3" x14ac:dyDescent="0.25">
      <c r="C5" t="s">
        <v>590</v>
      </c>
    </row>
    <row r="6" spans="2:3" x14ac:dyDescent="0.25">
      <c r="C6" t="s">
        <v>628</v>
      </c>
    </row>
    <row r="7" spans="2:3" x14ac:dyDescent="0.25">
      <c r="C7" t="s">
        <v>782</v>
      </c>
    </row>
    <row r="8" spans="2:3" x14ac:dyDescent="0.25">
      <c r="C8" t="s">
        <v>772</v>
      </c>
    </row>
    <row r="9" spans="2:3" x14ac:dyDescent="0.25">
      <c r="C9" t="s">
        <v>783</v>
      </c>
    </row>
    <row r="10" spans="2:3" x14ac:dyDescent="0.25">
      <c r="C10" t="s">
        <v>591</v>
      </c>
    </row>
    <row r="11" spans="2:3" x14ac:dyDescent="0.25">
      <c r="C11" t="s">
        <v>780</v>
      </c>
    </row>
    <row r="13" spans="2:3" x14ac:dyDescent="0.25">
      <c r="B13" t="s">
        <v>630</v>
      </c>
    </row>
    <row r="14" spans="2:3" x14ac:dyDescent="0.25">
      <c r="C14" t="s">
        <v>193</v>
      </c>
    </row>
    <row r="15" spans="2:3" x14ac:dyDescent="0.25">
      <c r="C15" t="s">
        <v>568</v>
      </c>
    </row>
    <row r="16" spans="2:3" x14ac:dyDescent="0.25">
      <c r="C16" t="s">
        <v>392</v>
      </c>
    </row>
    <row r="19" spans="2:8" x14ac:dyDescent="0.25">
      <c r="B19" t="s">
        <v>634</v>
      </c>
      <c r="D19" s="108" t="s">
        <v>543</v>
      </c>
      <c r="E19" s="108" t="s">
        <v>637</v>
      </c>
      <c r="F19" s="108" t="s">
        <v>578</v>
      </c>
      <c r="G19" s="108" t="s">
        <v>667</v>
      </c>
      <c r="H19" s="108" t="s">
        <v>651</v>
      </c>
    </row>
    <row r="20" spans="2:8" x14ac:dyDescent="0.25">
      <c r="C20" t="s">
        <v>635</v>
      </c>
      <c r="D20" s="108">
        <v>10</v>
      </c>
      <c r="E20" s="108">
        <v>50</v>
      </c>
      <c r="F20" s="108">
        <v>10</v>
      </c>
      <c r="G20" s="108">
        <v>50</v>
      </c>
      <c r="H20" s="108">
        <v>10</v>
      </c>
    </row>
    <row r="21" spans="2:8" x14ac:dyDescent="0.25">
      <c r="C21" t="s">
        <v>636</v>
      </c>
      <c r="D21" s="108">
        <v>10</v>
      </c>
      <c r="E21" s="108">
        <v>50</v>
      </c>
      <c r="F21" s="108">
        <v>50</v>
      </c>
      <c r="G21" s="108">
        <v>100</v>
      </c>
      <c r="H21" s="108">
        <v>10</v>
      </c>
    </row>
    <row r="22" spans="2:8" x14ac:dyDescent="0.25">
      <c r="C22" t="s">
        <v>637</v>
      </c>
      <c r="D22" s="108">
        <v>10</v>
      </c>
      <c r="E22" s="108">
        <v>100</v>
      </c>
      <c r="F22" s="108">
        <v>20</v>
      </c>
      <c r="G22" s="108">
        <v>10</v>
      </c>
      <c r="H22" s="108">
        <v>10</v>
      </c>
    </row>
    <row r="23" spans="2:8" x14ac:dyDescent="0.25">
      <c r="C23" t="s">
        <v>650</v>
      </c>
      <c r="D23" s="108">
        <v>10</v>
      </c>
      <c r="E23" s="108">
        <v>50</v>
      </c>
      <c r="F23" s="108">
        <v>0</v>
      </c>
      <c r="G23" s="108">
        <v>10</v>
      </c>
      <c r="H23" s="108">
        <v>10</v>
      </c>
    </row>
    <row r="24" spans="2:8" x14ac:dyDescent="0.25">
      <c r="C24" t="s">
        <v>639</v>
      </c>
      <c r="D24" s="108">
        <v>10</v>
      </c>
      <c r="E24" s="108">
        <v>50</v>
      </c>
      <c r="F24" s="108">
        <v>20</v>
      </c>
      <c r="G24" s="108">
        <v>10</v>
      </c>
      <c r="H24" s="108">
        <v>10</v>
      </c>
    </row>
    <row r="25" spans="2:8" x14ac:dyDescent="0.25">
      <c r="C25" t="s">
        <v>578</v>
      </c>
      <c r="D25" s="108">
        <v>10</v>
      </c>
      <c r="E25" s="108">
        <v>10</v>
      </c>
      <c r="F25" s="108">
        <v>100</v>
      </c>
      <c r="G25" s="108">
        <v>10</v>
      </c>
      <c r="H25" s="108">
        <v>10</v>
      </c>
    </row>
    <row r="26" spans="2:8" x14ac:dyDescent="0.25">
      <c r="C26" t="s">
        <v>638</v>
      </c>
      <c r="D26" s="108">
        <v>10</v>
      </c>
      <c r="E26" s="108">
        <v>10</v>
      </c>
      <c r="F26" s="108">
        <v>0</v>
      </c>
      <c r="G26" s="108">
        <v>10</v>
      </c>
      <c r="H26" s="108">
        <v>10</v>
      </c>
    </row>
    <row r="27" spans="2:8" x14ac:dyDescent="0.25">
      <c r="C27" t="s">
        <v>640</v>
      </c>
      <c r="D27" s="108">
        <v>10</v>
      </c>
      <c r="E27" s="108">
        <v>10</v>
      </c>
      <c r="F27" s="108">
        <v>10</v>
      </c>
      <c r="G27" s="108">
        <v>50</v>
      </c>
      <c r="H27" s="108">
        <v>10</v>
      </c>
    </row>
    <row r="28" spans="2:8" x14ac:dyDescent="0.25">
      <c r="C28" t="s">
        <v>642</v>
      </c>
      <c r="D28" s="108">
        <v>10</v>
      </c>
      <c r="E28" s="108">
        <v>10</v>
      </c>
      <c r="F28" s="108">
        <v>0</v>
      </c>
      <c r="G28" s="108">
        <v>50</v>
      </c>
      <c r="H28" s="108">
        <v>10</v>
      </c>
    </row>
    <row r="29" spans="2:8" x14ac:dyDescent="0.25">
      <c r="C29" t="s">
        <v>643</v>
      </c>
      <c r="D29" s="108">
        <v>10</v>
      </c>
      <c r="E29" s="108">
        <v>10</v>
      </c>
      <c r="F29" s="108">
        <v>0</v>
      </c>
      <c r="G29" s="108">
        <v>50</v>
      </c>
      <c r="H29" s="108">
        <v>10</v>
      </c>
    </row>
    <row r="30" spans="2:8" x14ac:dyDescent="0.25">
      <c r="C30" t="s">
        <v>668</v>
      </c>
      <c r="D30" s="108">
        <v>10</v>
      </c>
      <c r="E30" s="108">
        <v>0</v>
      </c>
      <c r="F30" s="108">
        <v>0</v>
      </c>
      <c r="G30" s="108">
        <v>100</v>
      </c>
      <c r="H30" s="108">
        <v>10</v>
      </c>
    </row>
    <row r="31" spans="2:8" x14ac:dyDescent="0.25">
      <c r="C31" t="s">
        <v>666</v>
      </c>
      <c r="D31" s="108">
        <v>10</v>
      </c>
      <c r="E31" s="108">
        <v>0</v>
      </c>
      <c r="F31" s="108">
        <v>0</v>
      </c>
      <c r="G31" s="108">
        <v>50</v>
      </c>
      <c r="H31" s="108">
        <v>10</v>
      </c>
    </row>
    <row r="32" spans="2:8" x14ac:dyDescent="0.25">
      <c r="C32" t="s">
        <v>641</v>
      </c>
      <c r="D32" s="108">
        <v>10</v>
      </c>
      <c r="E32" s="108">
        <v>0</v>
      </c>
      <c r="F32" s="108">
        <v>0</v>
      </c>
      <c r="G32" s="108">
        <v>0</v>
      </c>
      <c r="H32" s="108">
        <v>50</v>
      </c>
    </row>
    <row r="33" spans="2:8" x14ac:dyDescent="0.25">
      <c r="C33" t="s">
        <v>644</v>
      </c>
      <c r="D33" s="108">
        <v>10</v>
      </c>
      <c r="E33" s="108">
        <v>0</v>
      </c>
      <c r="F33" s="108">
        <v>0</v>
      </c>
      <c r="G33" s="108">
        <v>0</v>
      </c>
      <c r="H33" s="108">
        <v>100</v>
      </c>
    </row>
    <row r="34" spans="2:8" x14ac:dyDescent="0.25">
      <c r="D34" s="137">
        <f>SUM(D20:D33)</f>
        <v>140</v>
      </c>
      <c r="E34" s="137">
        <f>SUM(E20:E33)</f>
        <v>350</v>
      </c>
      <c r="F34" s="137">
        <f>SUM(F20:F33)</f>
        <v>210</v>
      </c>
      <c r="G34" s="137">
        <f>SUM(G20:G33)</f>
        <v>500</v>
      </c>
      <c r="H34" s="137">
        <f>SUM(H20:H33)</f>
        <v>270</v>
      </c>
    </row>
    <row r="36" spans="2:8" x14ac:dyDescent="0.25">
      <c r="B36" t="s">
        <v>767</v>
      </c>
    </row>
    <row r="37" spans="2:8" x14ac:dyDescent="0.25">
      <c r="C37" t="s">
        <v>768</v>
      </c>
      <c r="D37" s="150">
        <v>0.1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83F6B-F32D-49EA-B05F-AD926A9D39C4}">
  <sheetPr codeName="Sheet7"/>
  <dimension ref="B2:R278"/>
  <sheetViews>
    <sheetView zoomScale="115" zoomScaleNormal="115" workbookViewId="0">
      <pane xSplit="11" topLeftCell="L1" activePane="topRight" state="frozen"/>
      <selection activeCell="A49" sqref="A49"/>
      <selection pane="topRight" activeCell="Q35" sqref="Q35"/>
    </sheetView>
  </sheetViews>
  <sheetFormatPr defaultRowHeight="15" x14ac:dyDescent="0.25"/>
  <cols>
    <col min="1" max="1" width="2.85546875" customWidth="1"/>
    <col min="2" max="2" width="3.140625" customWidth="1"/>
    <col min="3" max="3" width="3" customWidth="1"/>
    <col min="4" max="4" width="33.5703125" customWidth="1"/>
    <col min="5" max="5" width="3.5703125" style="104" customWidth="1"/>
    <col min="6" max="6" width="14.7109375" style="1" customWidth="1"/>
    <col min="7" max="7" width="13.7109375" style="1" customWidth="1"/>
    <col min="8" max="8" width="14.140625" style="1" customWidth="1"/>
    <col min="9" max="9" width="2.28515625" customWidth="1"/>
    <col min="10" max="10" width="3.85546875" style="108" customWidth="1"/>
    <col min="11" max="11" width="4.140625" customWidth="1"/>
    <col min="12" max="12" width="4.42578125" customWidth="1"/>
    <col min="13" max="13" width="24.85546875" style="120" customWidth="1"/>
    <col min="14" max="14" width="13.85546875" customWidth="1"/>
    <col min="15" max="15" width="8.28515625" customWidth="1"/>
    <col min="16" max="16" width="15.7109375" style="108" customWidth="1"/>
    <col min="17" max="17" width="15.7109375" customWidth="1"/>
    <col min="18" max="18" width="15.7109375" style="115" customWidth="1"/>
    <col min="21" max="21" width="11.5703125" bestFit="1" customWidth="1"/>
    <col min="23" max="23" width="11.28515625" bestFit="1" customWidth="1"/>
  </cols>
  <sheetData>
    <row r="2" spans="3:18" ht="21" x14ac:dyDescent="0.35">
      <c r="D2" t="s">
        <v>585</v>
      </c>
      <c r="I2" s="20"/>
      <c r="J2" s="20"/>
      <c r="M2" s="120" t="str">
        <f>$D2</f>
        <v>Ttile</v>
      </c>
      <c r="N2" s="160" t="s">
        <v>645</v>
      </c>
      <c r="O2" s="161"/>
      <c r="P2" s="161"/>
      <c r="Q2" s="161"/>
      <c r="R2" s="162"/>
    </row>
    <row r="3" spans="3:18" x14ac:dyDescent="0.25">
      <c r="I3" s="20"/>
      <c r="J3" s="20"/>
      <c r="N3" s="118"/>
      <c r="O3" s="118"/>
      <c r="P3" s="118"/>
      <c r="Q3" s="118"/>
      <c r="R3" s="140"/>
    </row>
    <row r="4" spans="3:18" x14ac:dyDescent="0.25">
      <c r="D4" t="s">
        <v>586</v>
      </c>
      <c r="I4" s="20"/>
      <c r="J4" s="20"/>
      <c r="M4" s="120" t="str">
        <f>$D4</f>
        <v>Source 1</v>
      </c>
      <c r="N4" s="170"/>
      <c r="O4" s="171"/>
      <c r="P4" s="171"/>
      <c r="Q4" s="171"/>
      <c r="R4" s="172"/>
    </row>
    <row r="5" spans="3:18" x14ac:dyDescent="0.25">
      <c r="D5" t="s">
        <v>587</v>
      </c>
      <c r="I5" s="20"/>
      <c r="J5" s="20"/>
      <c r="M5" s="120" t="str">
        <f>$D5</f>
        <v>Source 2</v>
      </c>
      <c r="N5" s="170"/>
      <c r="O5" s="171"/>
      <c r="P5" s="171"/>
      <c r="Q5" s="171"/>
      <c r="R5" s="172"/>
    </row>
    <row r="6" spans="3:18" x14ac:dyDescent="0.25">
      <c r="D6" t="s">
        <v>611</v>
      </c>
      <c r="I6" s="20"/>
      <c r="J6" s="20"/>
      <c r="M6" s="120" t="str">
        <f>$D6</f>
        <v>Source 3</v>
      </c>
      <c r="N6" s="170"/>
      <c r="O6" s="171"/>
      <c r="P6" s="171"/>
      <c r="Q6" s="171"/>
      <c r="R6" s="172"/>
    </row>
    <row r="7" spans="3:18" x14ac:dyDescent="0.25">
      <c r="I7" s="20"/>
      <c r="J7" s="20"/>
      <c r="N7" s="118"/>
      <c r="O7" s="118"/>
    </row>
    <row r="8" spans="3:18" x14ac:dyDescent="0.25">
      <c r="D8" t="s">
        <v>575</v>
      </c>
      <c r="I8" s="20"/>
      <c r="J8" s="20"/>
      <c r="M8" s="120" t="str">
        <f>$D8</f>
        <v>Builder</v>
      </c>
      <c r="N8" s="155" t="s">
        <v>575</v>
      </c>
      <c r="O8" s="156"/>
      <c r="P8" s="156"/>
      <c r="R8"/>
    </row>
    <row r="9" spans="3:18" x14ac:dyDescent="0.25">
      <c r="D9" t="s">
        <v>576</v>
      </c>
      <c r="I9" s="20"/>
      <c r="J9" s="20"/>
      <c r="M9" s="120" t="str">
        <f>$D9</f>
        <v>Model</v>
      </c>
      <c r="N9" s="155" t="s">
        <v>576</v>
      </c>
      <c r="O9" s="156"/>
      <c r="P9" s="156"/>
      <c r="R9"/>
    </row>
    <row r="10" spans="3:18" x14ac:dyDescent="0.25">
      <c r="D10" t="s">
        <v>574</v>
      </c>
      <c r="I10" s="20"/>
      <c r="J10" s="20"/>
      <c r="M10" s="120" t="str">
        <f>$D10</f>
        <v>Designer</v>
      </c>
      <c r="N10" s="155" t="s">
        <v>574</v>
      </c>
      <c r="O10" s="156"/>
      <c r="P10" s="156"/>
      <c r="R10"/>
    </row>
    <row r="11" spans="3:18" x14ac:dyDescent="0.25">
      <c r="D11" t="s">
        <v>577</v>
      </c>
      <c r="I11" s="20"/>
      <c r="J11" s="20"/>
      <c r="M11" s="120" t="str">
        <f>$D11</f>
        <v>Year</v>
      </c>
      <c r="N11" s="155" t="s">
        <v>577</v>
      </c>
      <c r="O11" s="156"/>
      <c r="P11" s="156"/>
      <c r="R11"/>
    </row>
    <row r="12" spans="3:18" x14ac:dyDescent="0.25">
      <c r="I12" s="20"/>
      <c r="J12" s="20"/>
      <c r="N12" s="118"/>
      <c r="O12" s="118"/>
    </row>
    <row r="13" spans="3:18" x14ac:dyDescent="0.25">
      <c r="C13" t="s">
        <v>612</v>
      </c>
      <c r="I13" s="20"/>
      <c r="J13" s="20"/>
    </row>
    <row r="14" spans="3:18" x14ac:dyDescent="0.25">
      <c r="D14" t="s">
        <v>669</v>
      </c>
      <c r="I14" s="20"/>
      <c r="J14" s="20"/>
      <c r="M14" s="120" t="str">
        <f t="shared" ref="M14:M20" si="0">$D14</f>
        <v>Hull Material</v>
      </c>
      <c r="N14" s="170"/>
      <c r="O14" s="171"/>
      <c r="P14" s="171"/>
      <c r="R14"/>
    </row>
    <row r="15" spans="3:18" x14ac:dyDescent="0.25">
      <c r="D15" t="s">
        <v>493</v>
      </c>
      <c r="I15" s="20"/>
      <c r="J15" s="20"/>
      <c r="M15" s="120" t="str">
        <f t="shared" si="0"/>
        <v>Keel</v>
      </c>
      <c r="N15" s="170"/>
      <c r="O15" s="171"/>
      <c r="P15" s="171"/>
      <c r="R15"/>
    </row>
    <row r="16" spans="3:18" x14ac:dyDescent="0.25">
      <c r="D16" t="s">
        <v>525</v>
      </c>
      <c r="I16" s="20"/>
      <c r="J16" s="20"/>
      <c r="M16" s="120" t="str">
        <f t="shared" si="0"/>
        <v>Rudder</v>
      </c>
      <c r="N16" s="155"/>
      <c r="O16" s="156"/>
      <c r="P16" s="156"/>
      <c r="R16"/>
    </row>
    <row r="17" spans="3:18" x14ac:dyDescent="0.25">
      <c r="D17" t="s">
        <v>613</v>
      </c>
      <c r="I17" s="20"/>
      <c r="J17" s="20"/>
      <c r="M17" s="120" t="str">
        <f t="shared" si="0"/>
        <v>Rig</v>
      </c>
      <c r="N17" s="155"/>
      <c r="O17" s="156"/>
      <c r="P17" s="156"/>
      <c r="R17"/>
    </row>
    <row r="18" spans="3:18" x14ac:dyDescent="0.25">
      <c r="D18" t="s">
        <v>615</v>
      </c>
      <c r="I18" s="20"/>
      <c r="J18" s="20"/>
      <c r="M18" s="120" t="str">
        <f t="shared" si="0"/>
        <v>Cockpit</v>
      </c>
      <c r="N18" s="155"/>
      <c r="O18" s="156"/>
      <c r="P18" s="156"/>
      <c r="R18"/>
    </row>
    <row r="19" spans="3:18" x14ac:dyDescent="0.25">
      <c r="D19" t="s">
        <v>616</v>
      </c>
      <c r="I19" s="20"/>
      <c r="J19" s="20"/>
      <c r="M19" s="120" t="str">
        <f t="shared" si="0"/>
        <v>Bow</v>
      </c>
      <c r="N19" s="155"/>
      <c r="O19" s="156"/>
      <c r="P19" s="156"/>
      <c r="R19"/>
    </row>
    <row r="20" spans="3:18" x14ac:dyDescent="0.25">
      <c r="D20" t="s">
        <v>614</v>
      </c>
      <c r="I20" s="20"/>
      <c r="J20" s="20"/>
      <c r="M20" s="120" t="str">
        <f t="shared" si="0"/>
        <v>Transom</v>
      </c>
      <c r="N20" s="155"/>
      <c r="O20" s="156"/>
      <c r="P20" s="156"/>
      <c r="R20"/>
    </row>
    <row r="21" spans="3:18" x14ac:dyDescent="0.25">
      <c r="I21" s="20"/>
      <c r="J21" s="20"/>
      <c r="N21" s="173"/>
      <c r="O21" s="173"/>
      <c r="P21" s="173"/>
      <c r="R21"/>
    </row>
    <row r="22" spans="3:18" x14ac:dyDescent="0.25">
      <c r="C22" t="s">
        <v>579</v>
      </c>
      <c r="I22" s="20"/>
      <c r="J22" s="20"/>
    </row>
    <row r="23" spans="3:18" x14ac:dyDescent="0.25">
      <c r="D23" t="s">
        <v>582</v>
      </c>
      <c r="I23" s="20"/>
      <c r="J23" s="20"/>
      <c r="M23" s="120" t="str">
        <f>$D23</f>
        <v>LOA ft</v>
      </c>
      <c r="N23" s="123">
        <v>40</v>
      </c>
      <c r="O23" s="118" t="s">
        <v>646</v>
      </c>
    </row>
    <row r="24" spans="3:18" x14ac:dyDescent="0.25">
      <c r="D24" t="s">
        <v>583</v>
      </c>
      <c r="I24" s="20"/>
      <c r="J24" s="20"/>
      <c r="M24" s="120" t="str">
        <f t="shared" ref="M24:M26" si="1">$D24</f>
        <v>Beam ft</v>
      </c>
      <c r="N24" s="123">
        <v>0</v>
      </c>
      <c r="O24" t="s">
        <v>646</v>
      </c>
    </row>
    <row r="25" spans="3:18" x14ac:dyDescent="0.25">
      <c r="D25" t="s">
        <v>584</v>
      </c>
      <c r="I25" s="20"/>
      <c r="J25" s="20"/>
      <c r="M25" s="120" t="str">
        <f t="shared" si="1"/>
        <v>Draft ft</v>
      </c>
      <c r="N25" s="123">
        <v>0</v>
      </c>
      <c r="O25" t="s">
        <v>646</v>
      </c>
    </row>
    <row r="26" spans="3:18" x14ac:dyDescent="0.25">
      <c r="D26" t="s">
        <v>581</v>
      </c>
      <c r="I26" s="20"/>
      <c r="J26" s="20"/>
      <c r="M26" s="120" t="str">
        <f t="shared" si="1"/>
        <v>Disp kg</v>
      </c>
      <c r="N26" s="123">
        <v>0</v>
      </c>
      <c r="O26" t="s">
        <v>647</v>
      </c>
    </row>
    <row r="27" spans="3:18" x14ac:dyDescent="0.25">
      <c r="I27" s="20"/>
      <c r="J27" s="20"/>
    </row>
    <row r="28" spans="3:18" x14ac:dyDescent="0.25">
      <c r="C28" t="s">
        <v>578</v>
      </c>
      <c r="I28" s="20"/>
      <c r="J28" s="20"/>
      <c r="N28" s="122"/>
    </row>
    <row r="29" spans="3:18" x14ac:dyDescent="0.25">
      <c r="D29" t="s">
        <v>580</v>
      </c>
      <c r="I29" s="20"/>
      <c r="J29" s="20"/>
      <c r="M29" s="120" t="str">
        <f>$D29</f>
        <v>SA/Disp</v>
      </c>
      <c r="N29" s="121">
        <v>0</v>
      </c>
    </row>
    <row r="30" spans="3:18" x14ac:dyDescent="0.25">
      <c r="D30" t="s">
        <v>608</v>
      </c>
      <c r="I30" s="20"/>
      <c r="J30" s="20"/>
      <c r="M30" s="120" t="str">
        <f>$D30</f>
        <v>Disp/Length</v>
      </c>
      <c r="N30" s="121">
        <v>0</v>
      </c>
    </row>
    <row r="31" spans="3:18" x14ac:dyDescent="0.25">
      <c r="D31" t="s">
        <v>609</v>
      </c>
      <c r="I31" s="20"/>
      <c r="J31" s="20"/>
      <c r="M31" s="120" t="str">
        <f>$D31</f>
        <v>Comfort Ratio</v>
      </c>
      <c r="N31" s="121">
        <v>0</v>
      </c>
    </row>
    <row r="32" spans="3:18" x14ac:dyDescent="0.25">
      <c r="D32" t="s">
        <v>610</v>
      </c>
      <c r="I32" s="20"/>
      <c r="J32" s="20"/>
      <c r="M32" s="120" t="str">
        <f>$D32</f>
        <v>Capsize Screening Formula</v>
      </c>
      <c r="N32" s="121">
        <v>0</v>
      </c>
    </row>
    <row r="33" spans="3:18" x14ac:dyDescent="0.25">
      <c r="I33" s="20"/>
      <c r="J33" s="20"/>
    </row>
    <row r="34" spans="3:18" x14ac:dyDescent="0.25">
      <c r="C34" t="s">
        <v>663</v>
      </c>
      <c r="F34" s="124"/>
      <c r="G34" s="124"/>
      <c r="H34" s="124"/>
      <c r="P34"/>
      <c r="Q34" s="129"/>
      <c r="R34" s="129"/>
    </row>
    <row r="35" spans="3:18" x14ac:dyDescent="0.25">
      <c r="D35" t="s">
        <v>635</v>
      </c>
      <c r="F35" s="125"/>
      <c r="G35" s="125"/>
      <c r="H35" s="125"/>
      <c r="M35" s="120" t="str">
        <f>$D35</f>
        <v>Build Quality</v>
      </c>
      <c r="N35" s="119">
        <v>0.5</v>
      </c>
      <c r="P35"/>
      <c r="Q35" s="130"/>
      <c r="R35" s="130"/>
    </row>
    <row r="36" spans="3:18" x14ac:dyDescent="0.25">
      <c r="D36" t="s">
        <v>636</v>
      </c>
      <c r="F36" s="125"/>
      <c r="G36" s="125"/>
      <c r="H36" s="125"/>
      <c r="M36" s="120" t="str">
        <f t="shared" ref="M36:M44" si="2">$D36</f>
        <v>Overall Condition</v>
      </c>
      <c r="N36" s="119">
        <v>0.5</v>
      </c>
      <c r="P36"/>
      <c r="Q36" s="130"/>
      <c r="R36" s="130"/>
    </row>
    <row r="37" spans="3:18" x14ac:dyDescent="0.25">
      <c r="D37" t="s">
        <v>637</v>
      </c>
      <c r="F37" s="125"/>
      <c r="G37" s="125"/>
      <c r="H37" s="125"/>
      <c r="M37" s="120" t="str">
        <f t="shared" si="2"/>
        <v>Seawothiness</v>
      </c>
      <c r="N37" s="119">
        <v>0.5</v>
      </c>
      <c r="P37"/>
      <c r="Q37" s="130"/>
      <c r="R37" s="130"/>
    </row>
    <row r="38" spans="3:18" x14ac:dyDescent="0.25">
      <c r="D38" t="s">
        <v>650</v>
      </c>
      <c r="F38" s="125"/>
      <c r="G38" s="125"/>
      <c r="H38" s="125"/>
      <c r="M38" s="120" t="str">
        <f t="shared" si="2"/>
        <v>Safety</v>
      </c>
      <c r="N38" s="119">
        <v>0.5</v>
      </c>
      <c r="P38"/>
      <c r="Q38" s="130"/>
      <c r="R38" s="130"/>
    </row>
    <row r="39" spans="3:18" x14ac:dyDescent="0.25">
      <c r="D39" t="s">
        <v>639</v>
      </c>
      <c r="F39" s="125"/>
      <c r="G39" s="125"/>
      <c r="H39" s="125"/>
      <c r="M39" s="120" t="str">
        <f t="shared" si="2"/>
        <v>Ease Of Handling</v>
      </c>
      <c r="N39" s="119">
        <v>0.5</v>
      </c>
      <c r="P39"/>
      <c r="Q39" s="130"/>
      <c r="R39" s="130"/>
    </row>
    <row r="40" spans="3:18" x14ac:dyDescent="0.25">
      <c r="D40" t="s">
        <v>578</v>
      </c>
      <c r="F40" s="125"/>
      <c r="G40" s="125"/>
      <c r="H40" s="125"/>
      <c r="M40" s="120" t="str">
        <f>$D40</f>
        <v>Performance</v>
      </c>
      <c r="N40" s="119">
        <v>0.5</v>
      </c>
      <c r="P40"/>
      <c r="Q40" s="130"/>
      <c r="R40" s="130"/>
    </row>
    <row r="41" spans="3:18" x14ac:dyDescent="0.25">
      <c r="D41" t="s">
        <v>638</v>
      </c>
      <c r="F41" s="125"/>
      <c r="G41" s="125"/>
      <c r="H41" s="125"/>
      <c r="M41" s="120" t="str">
        <f t="shared" si="2"/>
        <v>Comfort And Accomodations</v>
      </c>
      <c r="N41" s="119">
        <v>0.5</v>
      </c>
      <c r="P41"/>
      <c r="Q41" s="130"/>
      <c r="R41" s="130"/>
    </row>
    <row r="42" spans="3:18" x14ac:dyDescent="0.25">
      <c r="D42" t="s">
        <v>640</v>
      </c>
      <c r="F42" s="125"/>
      <c r="G42" s="125"/>
      <c r="H42" s="125"/>
      <c r="M42" s="120" t="str">
        <f>$D42</f>
        <v>Equipment And Inventory</v>
      </c>
      <c r="N42" s="119">
        <v>0.5</v>
      </c>
      <c r="P42"/>
      <c r="Q42" s="130"/>
      <c r="R42" s="130"/>
    </row>
    <row r="43" spans="3:18" x14ac:dyDescent="0.25">
      <c r="D43" t="s">
        <v>642</v>
      </c>
      <c r="F43" s="125"/>
      <c r="G43" s="125"/>
      <c r="H43" s="125"/>
      <c r="M43" s="120" t="str">
        <f t="shared" si="2"/>
        <v>Maintenance History</v>
      </c>
      <c r="N43" s="119">
        <v>0.5</v>
      </c>
      <c r="P43"/>
      <c r="Q43" s="130"/>
      <c r="R43" s="130"/>
    </row>
    <row r="44" spans="3:18" x14ac:dyDescent="0.25">
      <c r="D44" t="s">
        <v>643</v>
      </c>
      <c r="F44" s="125"/>
      <c r="G44" s="125"/>
      <c r="H44" s="125"/>
      <c r="M44" s="120" t="str">
        <f t="shared" si="2"/>
        <v>Previous Owner</v>
      </c>
      <c r="N44" s="119">
        <v>0.5</v>
      </c>
      <c r="P44"/>
      <c r="Q44" s="130"/>
      <c r="R44" s="130"/>
    </row>
    <row r="45" spans="3:18" x14ac:dyDescent="0.25">
      <c r="D45" t="s">
        <v>668</v>
      </c>
      <c r="F45" s="125"/>
      <c r="G45" s="125"/>
      <c r="H45" s="125"/>
      <c r="M45" s="120" t="str">
        <f>$D45</f>
        <v>Relative Price</v>
      </c>
      <c r="N45" s="119">
        <v>0.5</v>
      </c>
      <c r="P45"/>
      <c r="Q45" s="130"/>
      <c r="R45" s="130"/>
    </row>
    <row r="46" spans="3:18" x14ac:dyDescent="0.25">
      <c r="D46" t="s">
        <v>666</v>
      </c>
      <c r="F46" s="125"/>
      <c r="G46" s="125"/>
      <c r="H46" s="125"/>
      <c r="M46" s="120" t="str">
        <f>$D46</f>
        <v>Resale Value</v>
      </c>
      <c r="N46" s="119">
        <v>0.5</v>
      </c>
      <c r="P46"/>
      <c r="Q46" s="130"/>
      <c r="R46" s="130"/>
    </row>
    <row r="47" spans="3:18" x14ac:dyDescent="0.25">
      <c r="D47" t="s">
        <v>641</v>
      </c>
      <c r="F47" s="125"/>
      <c r="G47" s="125"/>
      <c r="H47" s="125"/>
      <c r="M47" s="120" t="str">
        <f>$D47</f>
        <v>Aesthetics</v>
      </c>
      <c r="N47" s="119">
        <v>0.5</v>
      </c>
      <c r="P47"/>
      <c r="Q47" s="130"/>
      <c r="R47" s="130"/>
    </row>
    <row r="48" spans="3:18" x14ac:dyDescent="0.25">
      <c r="D48" t="s">
        <v>644</v>
      </c>
      <c r="F48" s="125"/>
      <c r="G48" s="125"/>
      <c r="H48" s="125"/>
      <c r="M48" s="120" t="str">
        <f>$D48</f>
        <v>Gidyness Factor</v>
      </c>
      <c r="N48" s="119">
        <v>0.5</v>
      </c>
      <c r="P48"/>
      <c r="Q48" s="130"/>
      <c r="R48" s="130"/>
    </row>
    <row r="49" spans="2:18" x14ac:dyDescent="0.25">
      <c r="F49" s="126"/>
      <c r="G49" s="126"/>
      <c r="H49" s="126"/>
      <c r="O49" s="118"/>
      <c r="P49"/>
      <c r="Q49" s="128"/>
      <c r="R49" s="128"/>
    </row>
    <row r="50" spans="2:18" x14ac:dyDescent="0.25">
      <c r="C50" t="s">
        <v>664</v>
      </c>
      <c r="F50" s="126"/>
      <c r="G50" s="126"/>
      <c r="H50" s="126"/>
      <c r="O50" s="118"/>
      <c r="P50" s="128"/>
      <c r="Q50" s="128"/>
      <c r="R50" s="128"/>
    </row>
    <row r="51" spans="2:18" x14ac:dyDescent="0.25">
      <c r="D51" t="s">
        <v>543</v>
      </c>
      <c r="F51" s="126"/>
      <c r="G51" s="126"/>
      <c r="H51" s="126"/>
      <c r="M51" s="120" t="str">
        <f t="shared" ref="M51:M55" si="3">$D51</f>
        <v>General</v>
      </c>
      <c r="N51" s="138">
        <f ca="1">CalculateScore(Parameters!$D$20:$D$34,$N$35:$N$48)</f>
        <v>4.9999999999999991</v>
      </c>
      <c r="O51" s="118"/>
      <c r="P51" s="128"/>
      <c r="Q51" s="128"/>
      <c r="R51" s="128"/>
    </row>
    <row r="52" spans="2:18" x14ac:dyDescent="0.25">
      <c r="D52" t="s">
        <v>665</v>
      </c>
      <c r="F52" s="126"/>
      <c r="G52" s="126"/>
      <c r="H52" s="126"/>
      <c r="M52" s="120" t="str">
        <f t="shared" si="3"/>
        <v>Seaworthiness</v>
      </c>
      <c r="N52" s="138">
        <f ca="1">CalculateScore(Parameters!$E$20:$E$34,$N$35:$N$48)</f>
        <v>5.0000000000000018</v>
      </c>
      <c r="O52" s="118"/>
      <c r="P52" s="128"/>
      <c r="Q52" s="128"/>
      <c r="R52" s="128"/>
    </row>
    <row r="53" spans="2:18" x14ac:dyDescent="0.25">
      <c r="D53" t="s">
        <v>578</v>
      </c>
      <c r="F53" s="126"/>
      <c r="G53" s="126"/>
      <c r="H53" s="126"/>
      <c r="M53" s="120" t="str">
        <f t="shared" si="3"/>
        <v>Performance</v>
      </c>
      <c r="N53" s="138">
        <f ca="1">CalculateScore(Parameters!$F$20:$F$34,$N$35:$N$48)</f>
        <v>5</v>
      </c>
      <c r="O53" s="118"/>
      <c r="P53" s="128"/>
      <c r="Q53" s="128"/>
      <c r="R53" s="128"/>
    </row>
    <row r="54" spans="2:18" x14ac:dyDescent="0.25">
      <c r="D54" t="s">
        <v>667</v>
      </c>
      <c r="F54" s="126"/>
      <c r="G54" s="126"/>
      <c r="H54" s="126"/>
      <c r="M54" s="120" t="str">
        <f t="shared" si="3"/>
        <v>Value</v>
      </c>
      <c r="N54" s="138">
        <f ca="1">CalculateScore(Parameters!$G$20:$G$34,$N$35:$N$48)</f>
        <v>5</v>
      </c>
      <c r="O54" s="118"/>
      <c r="P54" s="139"/>
      <c r="Q54" s="128"/>
      <c r="R54" s="128"/>
    </row>
    <row r="55" spans="2:18" x14ac:dyDescent="0.25">
      <c r="D55" t="s">
        <v>651</v>
      </c>
      <c r="F55" s="126"/>
      <c r="G55" s="126"/>
      <c r="H55" s="126"/>
      <c r="M55" s="120" t="str">
        <f t="shared" si="3"/>
        <v>Subjective</v>
      </c>
      <c r="N55" s="138">
        <f ca="1">CalculateScore(Parameters!$H$20:$H$34,$N$35:$N$48)</f>
        <v>5</v>
      </c>
      <c r="O55" s="118"/>
      <c r="P55" s="128"/>
      <c r="Q55" s="128"/>
      <c r="R55" s="128"/>
    </row>
    <row r="56" spans="2:18" x14ac:dyDescent="0.25">
      <c r="F56" s="126"/>
      <c r="G56" s="126"/>
      <c r="H56" s="126"/>
      <c r="O56" s="118"/>
      <c r="P56" s="128"/>
      <c r="Q56" s="128"/>
      <c r="R56" s="128"/>
    </row>
    <row r="57" spans="2:18" x14ac:dyDescent="0.25">
      <c r="B57" s="109" t="s">
        <v>656</v>
      </c>
      <c r="C57" s="109"/>
      <c r="D57" s="109"/>
      <c r="E57" s="110"/>
      <c r="F57" s="111"/>
      <c r="G57" s="111"/>
      <c r="H57" s="111"/>
      <c r="I57" s="111"/>
      <c r="J57" s="111"/>
      <c r="M57" s="109" t="s">
        <v>656</v>
      </c>
      <c r="N57" s="109"/>
      <c r="O57" s="109"/>
      <c r="P57" s="109"/>
      <c r="Q57" s="109"/>
      <c r="R57" s="109"/>
    </row>
    <row r="59" spans="2:18" x14ac:dyDescent="0.25">
      <c r="D59" t="s">
        <v>654</v>
      </c>
      <c r="F59"/>
      <c r="G59"/>
      <c r="H59"/>
      <c r="J59"/>
      <c r="M59" s="120" t="str">
        <f>$D59</f>
        <v>Asking Price</v>
      </c>
      <c r="N59" s="134">
        <v>0</v>
      </c>
      <c r="O59" s="118"/>
      <c r="P59" s="128"/>
      <c r="Q59" s="128"/>
      <c r="R59" s="128"/>
    </row>
    <row r="60" spans="2:18" x14ac:dyDescent="0.25">
      <c r="F60"/>
      <c r="G60"/>
      <c r="H60"/>
      <c r="J60"/>
      <c r="O60" s="118"/>
      <c r="P60" s="128"/>
      <c r="Q60" s="128"/>
      <c r="R60" s="128"/>
    </row>
    <row r="61" spans="2:18" x14ac:dyDescent="0.25">
      <c r="B61" s="109" t="s">
        <v>657</v>
      </c>
      <c r="C61" s="109"/>
      <c r="D61" s="109"/>
      <c r="E61" s="110"/>
      <c r="F61" s="111"/>
      <c r="G61" s="111"/>
      <c r="H61" s="111"/>
      <c r="I61" s="111"/>
      <c r="J61" s="111"/>
      <c r="M61" s="109" t="s">
        <v>657</v>
      </c>
      <c r="N61" s="109"/>
      <c r="O61" s="109"/>
      <c r="P61" s="109"/>
      <c r="Q61" s="109"/>
      <c r="R61" s="109"/>
    </row>
    <row r="63" spans="2:18" x14ac:dyDescent="0.25">
      <c r="D63" t="s">
        <v>655</v>
      </c>
      <c r="F63"/>
      <c r="G63"/>
      <c r="H63"/>
      <c r="J63"/>
      <c r="M63" s="120" t="str">
        <f>$D63</f>
        <v>Sales Price</v>
      </c>
      <c r="N63" s="133">
        <v>0</v>
      </c>
      <c r="O63" s="118"/>
      <c r="P63" s="128"/>
      <c r="Q63" s="128"/>
      <c r="R63" s="128"/>
    </row>
    <row r="65" spans="2:18" x14ac:dyDescent="0.25">
      <c r="D65" t="s">
        <v>658</v>
      </c>
      <c r="M65" s="120" t="str">
        <f>$D65</f>
        <v>Assesment Target</v>
      </c>
      <c r="N65" s="107" t="s">
        <v>568</v>
      </c>
    </row>
    <row r="66" spans="2:18" x14ac:dyDescent="0.25">
      <c r="D66" t="s">
        <v>648</v>
      </c>
      <c r="F66"/>
      <c r="G66"/>
      <c r="H66"/>
      <c r="J66"/>
      <c r="M66" s="120" t="str">
        <f>$D66</f>
        <v>Assesment</v>
      </c>
      <c r="N66" s="117">
        <f ca="1">Q$236</f>
        <v>0</v>
      </c>
      <c r="O66" s="118"/>
      <c r="P66" s="128"/>
      <c r="Q66" s="128"/>
      <c r="R66" s="128"/>
    </row>
    <row r="67" spans="2:18" x14ac:dyDescent="0.25">
      <c r="D67" t="s">
        <v>567</v>
      </c>
      <c r="F67"/>
      <c r="G67"/>
      <c r="H67"/>
      <c r="J67"/>
      <c r="M67" s="120" t="str">
        <f>$D67</f>
        <v>Projects</v>
      </c>
      <c r="N67" s="117">
        <f ca="1">Q$255</f>
        <v>0</v>
      </c>
      <c r="O67" s="118"/>
      <c r="P67" s="128"/>
      <c r="Q67" s="128"/>
      <c r="R67" s="128"/>
    </row>
    <row r="68" spans="2:18" x14ac:dyDescent="0.25">
      <c r="D68" t="s">
        <v>604</v>
      </c>
      <c r="G68"/>
      <c r="H68"/>
      <c r="J68"/>
      <c r="M68" s="120" t="str">
        <f>$D68</f>
        <v>Custom</v>
      </c>
      <c r="N68" s="133">
        <v>0</v>
      </c>
      <c r="O68" s="118"/>
      <c r="P68" s="128"/>
      <c r="Q68" s="128"/>
      <c r="R68"/>
    </row>
    <row r="69" spans="2:18" x14ac:dyDescent="0.25">
      <c r="F69"/>
      <c r="G69"/>
      <c r="H69"/>
      <c r="J69"/>
      <c r="N69" s="131"/>
      <c r="O69" s="118"/>
      <c r="P69" s="128"/>
      <c r="Q69" s="128"/>
      <c r="R69" s="128"/>
    </row>
    <row r="70" spans="2:18" x14ac:dyDescent="0.25">
      <c r="D70" t="s">
        <v>652</v>
      </c>
      <c r="F70" s="117">
        <v>25</v>
      </c>
      <c r="G70" t="s">
        <v>660</v>
      </c>
      <c r="H70"/>
      <c r="J70"/>
      <c r="M70" s="120" t="str">
        <f>$D70</f>
        <v>Hull Survey</v>
      </c>
      <c r="N70" s="117">
        <f>$F70*N$23</f>
        <v>1000</v>
      </c>
      <c r="O70" s="118"/>
      <c r="P70" s="128"/>
      <c r="Q70" s="128"/>
      <c r="R70" s="128"/>
    </row>
    <row r="71" spans="2:18" x14ac:dyDescent="0.25">
      <c r="D71" t="s">
        <v>661</v>
      </c>
      <c r="F71" s="117">
        <v>10</v>
      </c>
      <c r="G71" t="s">
        <v>660</v>
      </c>
      <c r="H71"/>
      <c r="J71"/>
      <c r="M71" s="120" t="str">
        <f t="shared" ref="M71:M74" si="4">$D71</f>
        <v>Haulout</v>
      </c>
      <c r="N71" s="117">
        <f>$F71*N$23</f>
        <v>400</v>
      </c>
      <c r="O71" s="118"/>
      <c r="P71" s="128"/>
      <c r="Q71" s="128"/>
    </row>
    <row r="72" spans="2:18" x14ac:dyDescent="0.25">
      <c r="D72" t="s">
        <v>653</v>
      </c>
      <c r="F72" s="117">
        <v>400</v>
      </c>
      <c r="G72" t="s">
        <v>662</v>
      </c>
      <c r="H72"/>
      <c r="J72"/>
      <c r="M72" s="120" t="str">
        <f t="shared" si="4"/>
        <v>Engine Survey</v>
      </c>
      <c r="N72" s="117">
        <f>$F72</f>
        <v>400</v>
      </c>
      <c r="O72" s="118"/>
      <c r="P72" s="128"/>
      <c r="Q72" s="128"/>
    </row>
    <row r="73" spans="2:18" x14ac:dyDescent="0.25">
      <c r="D73" t="s">
        <v>120</v>
      </c>
      <c r="F73" s="135">
        <v>0</v>
      </c>
      <c r="G73"/>
      <c r="H73"/>
      <c r="J73"/>
      <c r="M73" s="120" t="str">
        <f t="shared" si="4"/>
        <v>Sales Tax</v>
      </c>
      <c r="N73" s="117">
        <f>N63*$F73</f>
        <v>0</v>
      </c>
      <c r="O73" s="118"/>
      <c r="P73" s="128"/>
      <c r="Q73" s="128"/>
    </row>
    <row r="74" spans="2:18" x14ac:dyDescent="0.25">
      <c r="D74" t="s">
        <v>563</v>
      </c>
      <c r="F74" s="134">
        <v>1000</v>
      </c>
      <c r="G74"/>
      <c r="H74"/>
      <c r="J74"/>
      <c r="M74" s="120" t="str">
        <f t="shared" si="4"/>
        <v>Registration/MMSI</v>
      </c>
      <c r="N74" s="117">
        <f>$F74</f>
        <v>1000</v>
      </c>
      <c r="O74" s="118"/>
      <c r="P74" s="128"/>
      <c r="Q74" s="128"/>
    </row>
    <row r="75" spans="2:18" x14ac:dyDescent="0.25">
      <c r="D75" t="s">
        <v>659</v>
      </c>
      <c r="G75"/>
      <c r="H75"/>
      <c r="J75"/>
      <c r="M75" s="120" t="str">
        <f>$D75</f>
        <v>Agent Fees</v>
      </c>
      <c r="N75" s="133">
        <f>$F75</f>
        <v>0</v>
      </c>
      <c r="O75" s="118"/>
      <c r="P75" s="128"/>
      <c r="Q75" s="128"/>
    </row>
    <row r="76" spans="2:18" x14ac:dyDescent="0.25">
      <c r="F76"/>
      <c r="G76"/>
      <c r="H76"/>
      <c r="J76"/>
      <c r="N76" s="131"/>
      <c r="O76" s="118"/>
      <c r="P76" s="128"/>
      <c r="Q76" s="128"/>
    </row>
    <row r="77" spans="2:18" x14ac:dyDescent="0.25">
      <c r="F77"/>
      <c r="G77"/>
      <c r="H77"/>
      <c r="J77"/>
      <c r="N77" s="52">
        <f ca="1">SUM(N59:N75)</f>
        <v>2800</v>
      </c>
      <c r="O77" s="118"/>
      <c r="P77" s="128"/>
      <c r="Q77" s="128"/>
    </row>
    <row r="78" spans="2:18" x14ac:dyDescent="0.25">
      <c r="F78" s="126"/>
      <c r="G78" s="126"/>
      <c r="H78" s="126"/>
      <c r="O78" s="118"/>
      <c r="Q78" s="127"/>
      <c r="R78" s="127"/>
    </row>
    <row r="79" spans="2:18" x14ac:dyDescent="0.25">
      <c r="B79" s="109" t="s">
        <v>603</v>
      </c>
      <c r="C79" s="109"/>
      <c r="D79" s="109"/>
      <c r="E79" s="110"/>
      <c r="F79" s="111"/>
      <c r="G79" s="111"/>
      <c r="H79" s="111"/>
      <c r="I79" s="111"/>
      <c r="J79" s="111"/>
      <c r="M79" s="109" t="s">
        <v>603</v>
      </c>
      <c r="N79" s="109"/>
      <c r="O79" s="109"/>
      <c r="P79" s="109"/>
      <c r="Q79" s="109"/>
      <c r="R79" s="109"/>
    </row>
    <row r="81" spans="2:18" x14ac:dyDescent="0.25">
      <c r="E81" s="104" t="s">
        <v>671</v>
      </c>
      <c r="F81" s="1" t="s">
        <v>675</v>
      </c>
      <c r="N81" s="107" t="s">
        <v>588</v>
      </c>
    </row>
    <row r="82" spans="2:18" x14ac:dyDescent="0.25">
      <c r="E82" s="142" t="s">
        <v>674</v>
      </c>
      <c r="F82" s="1" t="s">
        <v>715</v>
      </c>
      <c r="N82" s="107" t="s">
        <v>589</v>
      </c>
    </row>
    <row r="83" spans="2:18" x14ac:dyDescent="0.25">
      <c r="E83" s="141" t="s">
        <v>571</v>
      </c>
      <c r="F83" s="1" t="s">
        <v>716</v>
      </c>
      <c r="N83" s="107" t="s">
        <v>590</v>
      </c>
    </row>
    <row r="84" spans="2:18" x14ac:dyDescent="0.25">
      <c r="E84" s="141" t="s">
        <v>593</v>
      </c>
      <c r="F84" s="1" t="s">
        <v>676</v>
      </c>
      <c r="N84" s="107" t="s">
        <v>628</v>
      </c>
    </row>
    <row r="85" spans="2:18" x14ac:dyDescent="0.25">
      <c r="N85" s="107" t="s">
        <v>591</v>
      </c>
    </row>
    <row r="86" spans="2:18" x14ac:dyDescent="0.25">
      <c r="E86" s="141"/>
    </row>
    <row r="87" spans="2:18" x14ac:dyDescent="0.25">
      <c r="B87" t="s">
        <v>539</v>
      </c>
      <c r="M87" s="118" t="s">
        <v>670</v>
      </c>
      <c r="N87" s="108" t="s">
        <v>626</v>
      </c>
      <c r="O87" s="108" t="s">
        <v>633</v>
      </c>
      <c r="P87" s="108" t="s">
        <v>631</v>
      </c>
      <c r="Q87" s="108" t="s">
        <v>649</v>
      </c>
      <c r="R87" s="108" t="s">
        <v>629</v>
      </c>
    </row>
    <row r="88" spans="2:18" x14ac:dyDescent="0.25">
      <c r="C88" t="s">
        <v>520</v>
      </c>
    </row>
    <row r="89" spans="2:18" x14ac:dyDescent="0.25">
      <c r="D89" s="55" t="s">
        <v>539</v>
      </c>
      <c r="E89" s="105"/>
      <c r="F89" s="114" t="s">
        <v>569</v>
      </c>
      <c r="G89" s="114" t="s">
        <v>569</v>
      </c>
      <c r="H89" s="114" t="s">
        <v>569</v>
      </c>
      <c r="J89" s="112" t="s">
        <v>75</v>
      </c>
      <c r="M89" s="120" t="str">
        <f>$D89</f>
        <v>Structure</v>
      </c>
      <c r="N89" s="107" t="s">
        <v>588</v>
      </c>
      <c r="O89" s="116" t="s">
        <v>632</v>
      </c>
      <c r="P89" s="113">
        <v>0</v>
      </c>
      <c r="Q89" s="117" t="str">
        <f ca="1">CalculateInvestment($N$65,N89,O89,$F89:$J89,P89,$N$23,E89)</f>
        <v>REQUIRED</v>
      </c>
      <c r="R89" s="107"/>
    </row>
    <row r="90" spans="2:18" x14ac:dyDescent="0.25">
      <c r="D90" s="55" t="s">
        <v>617</v>
      </c>
      <c r="E90" s="105" t="s">
        <v>671</v>
      </c>
      <c r="F90" s="101">
        <v>250</v>
      </c>
      <c r="G90" s="102">
        <v>200</v>
      </c>
      <c r="H90" s="103">
        <v>75</v>
      </c>
      <c r="J90" s="112" t="s">
        <v>75</v>
      </c>
      <c r="M90" s="120" t="str">
        <f t="shared" ref="M90:M153" si="5">$D90</f>
        <v>Gelcoat/Paint</v>
      </c>
      <c r="N90" s="107" t="s">
        <v>588</v>
      </c>
      <c r="O90" s="116" t="s">
        <v>632</v>
      </c>
      <c r="P90" s="113">
        <v>0</v>
      </c>
      <c r="Q90" s="144" t="str">
        <f ca="1">CalculateInvestmentPerFoot($N$65,N90,O90,$F90:$J90,P90,$N$23)</f>
        <v>REQUIRED</v>
      </c>
      <c r="R90" s="107"/>
    </row>
    <row r="91" spans="2:18" x14ac:dyDescent="0.25">
      <c r="D91" s="55" t="s">
        <v>495</v>
      </c>
      <c r="E91" s="105" t="s">
        <v>671</v>
      </c>
      <c r="F91" s="101">
        <v>120</v>
      </c>
      <c r="G91" s="102">
        <v>50</v>
      </c>
      <c r="H91" s="103">
        <v>25</v>
      </c>
      <c r="J91" s="112" t="s">
        <v>75</v>
      </c>
      <c r="M91" s="120" t="str">
        <f t="shared" si="5"/>
        <v>Non-Skid Surfaces</v>
      </c>
      <c r="N91" s="107" t="s">
        <v>588</v>
      </c>
      <c r="O91" s="116" t="s">
        <v>632</v>
      </c>
      <c r="P91" s="113">
        <v>0</v>
      </c>
      <c r="Q91" s="144" t="str">
        <f ca="1">CalculateInvestmentPerFoot($N$65,N91,O91,$F91:$J91,P91,$N$23)</f>
        <v>REQUIRED</v>
      </c>
      <c r="R91" s="107"/>
    </row>
    <row r="92" spans="2:18" x14ac:dyDescent="0.25">
      <c r="D92" s="55" t="s">
        <v>492</v>
      </c>
      <c r="E92" s="105" t="s">
        <v>671</v>
      </c>
      <c r="F92" s="101">
        <v>500</v>
      </c>
      <c r="G92" s="102">
        <v>125</v>
      </c>
      <c r="H92" s="103">
        <v>25</v>
      </c>
      <c r="J92" s="112" t="s">
        <v>75</v>
      </c>
      <c r="M92" s="120" t="str">
        <f t="shared" si="5"/>
        <v>Underwater Hull</v>
      </c>
      <c r="N92" s="107" t="s">
        <v>588</v>
      </c>
      <c r="O92" s="116" t="s">
        <v>632</v>
      </c>
      <c r="P92" s="113">
        <v>0</v>
      </c>
      <c r="Q92" s="144" t="str">
        <f ca="1">CalculateInvestmentPerFoot($N$65,N92,O92,$F92:$J92,P92,$N$23)</f>
        <v>REQUIRED</v>
      </c>
      <c r="R92" s="107"/>
    </row>
    <row r="93" spans="2:18" x14ac:dyDescent="0.25">
      <c r="D93" s="55" t="s">
        <v>570</v>
      </c>
      <c r="E93" s="105" t="s">
        <v>671</v>
      </c>
      <c r="F93" s="101">
        <v>75</v>
      </c>
      <c r="G93" s="102">
        <v>40</v>
      </c>
      <c r="H93" s="103">
        <v>25</v>
      </c>
      <c r="J93" s="112" t="s">
        <v>75</v>
      </c>
      <c r="M93" s="120" t="str">
        <f t="shared" si="5"/>
        <v>Antifouling</v>
      </c>
      <c r="N93" s="107" t="s">
        <v>588</v>
      </c>
      <c r="O93" s="116" t="s">
        <v>632</v>
      </c>
      <c r="P93" s="113">
        <v>0</v>
      </c>
      <c r="Q93" s="144" t="str">
        <f ca="1">CalculateInvestmentPerFoot($N$65,N93,O93,$F93:$J93,P93,$N$23)</f>
        <v>REQUIRED</v>
      </c>
      <c r="R93" s="107"/>
    </row>
    <row r="94" spans="2:18" x14ac:dyDescent="0.25">
      <c r="D94" s="55" t="s">
        <v>493</v>
      </c>
      <c r="E94" s="105"/>
      <c r="F94" s="114" t="s">
        <v>569</v>
      </c>
      <c r="G94" s="114" t="s">
        <v>569</v>
      </c>
      <c r="H94" s="114" t="s">
        <v>569</v>
      </c>
      <c r="J94" s="112" t="s">
        <v>75</v>
      </c>
      <c r="M94" s="120" t="str">
        <f t="shared" si="5"/>
        <v>Keel</v>
      </c>
      <c r="N94" s="107" t="s">
        <v>588</v>
      </c>
      <c r="O94" s="116" t="s">
        <v>632</v>
      </c>
      <c r="P94" s="113">
        <v>0</v>
      </c>
      <c r="Q94" s="117" t="str">
        <f ca="1">CalculateInvestment($N$65,N94,O94,$F94:$J94,P94,$N$23,E94)</f>
        <v>REQUIRED</v>
      </c>
      <c r="R94" s="107"/>
    </row>
    <row r="95" spans="2:18" x14ac:dyDescent="0.25">
      <c r="D95" s="55" t="s">
        <v>494</v>
      </c>
      <c r="E95" s="143" t="s">
        <v>674</v>
      </c>
      <c r="F95" s="101">
        <v>4000</v>
      </c>
      <c r="G95" s="102">
        <v>2500</v>
      </c>
      <c r="H95" s="103">
        <v>1600</v>
      </c>
      <c r="J95" s="112" t="s">
        <v>75</v>
      </c>
      <c r="M95" s="120" t="str">
        <f t="shared" si="5"/>
        <v>Through Hull Fittings and Seacocks</v>
      </c>
      <c r="N95" s="107" t="s">
        <v>588</v>
      </c>
      <c r="O95" s="116" t="s">
        <v>632</v>
      </c>
      <c r="P95" s="113">
        <v>0</v>
      </c>
      <c r="Q95" s="117" t="str">
        <f ca="1">CalculateInvestment($N$65,N95,O95,$F95:$J95,P95,$N$23,E95)</f>
        <v>REQUIRED</v>
      </c>
      <c r="R95" s="107"/>
    </row>
    <row r="96" spans="2:18" x14ac:dyDescent="0.25">
      <c r="D96" s="55" t="s">
        <v>508</v>
      </c>
      <c r="E96" s="143" t="s">
        <v>674</v>
      </c>
      <c r="F96" s="101">
        <v>6000</v>
      </c>
      <c r="G96" s="102">
        <v>5000</v>
      </c>
      <c r="H96" s="103">
        <v>4000</v>
      </c>
      <c r="M96" s="120" t="str">
        <f t="shared" si="5"/>
        <v>Bow Thruster</v>
      </c>
      <c r="N96" s="107" t="s">
        <v>588</v>
      </c>
      <c r="O96" s="116" t="s">
        <v>632</v>
      </c>
      <c r="P96" s="113">
        <v>0</v>
      </c>
      <c r="Q96" s="117">
        <f ca="1">CalculateInvestment($N$65,N96,O96,$F96:$J96,P96,$N$23,E96)</f>
        <v>0</v>
      </c>
      <c r="R96" s="107"/>
    </row>
    <row r="97" spans="3:18" x14ac:dyDescent="0.25">
      <c r="C97" t="s">
        <v>521</v>
      </c>
      <c r="F97"/>
      <c r="G97"/>
      <c r="H97"/>
      <c r="O97" s="108"/>
      <c r="P97"/>
      <c r="Q97" s="115"/>
      <c r="R97"/>
    </row>
    <row r="98" spans="3:18" x14ac:dyDescent="0.25">
      <c r="D98" s="55" t="s">
        <v>677</v>
      </c>
      <c r="E98" s="143" t="s">
        <v>674</v>
      </c>
      <c r="F98" s="101">
        <v>3000</v>
      </c>
      <c r="G98" s="102">
        <v>2500</v>
      </c>
      <c r="H98" s="103">
        <v>2000</v>
      </c>
      <c r="J98" s="112" t="s">
        <v>75</v>
      </c>
      <c r="M98" s="120" t="str">
        <f t="shared" si="5"/>
        <v>Ground Tackle →</v>
      </c>
      <c r="N98" s="107" t="s">
        <v>588</v>
      </c>
      <c r="O98" s="116" t="s">
        <v>632</v>
      </c>
      <c r="P98" s="113">
        <v>0</v>
      </c>
      <c r="Q98" s="117" t="str">
        <f ca="1">CalculateInvestment($N$65,N98,O98,$F98:$J98,P98,$N$23,E98)</f>
        <v>REQUIRED</v>
      </c>
      <c r="R98" s="107"/>
    </row>
    <row r="99" spans="3:18" x14ac:dyDescent="0.25">
      <c r="D99" s="55" t="s">
        <v>678</v>
      </c>
      <c r="E99" s="106"/>
      <c r="F99" s="101">
        <v>3000</v>
      </c>
      <c r="G99" s="102">
        <v>2800</v>
      </c>
      <c r="H99" s="103">
        <v>2000</v>
      </c>
      <c r="J99" s="112" t="s">
        <v>75</v>
      </c>
      <c r="M99" s="120" t="str">
        <f t="shared" si="5"/>
        <v>Windlass →</v>
      </c>
      <c r="N99" s="107" t="s">
        <v>588</v>
      </c>
      <c r="O99" s="116" t="s">
        <v>632</v>
      </c>
      <c r="P99" s="113">
        <v>0</v>
      </c>
      <c r="Q99" s="117" t="str">
        <f ca="1">CalculateInvestment($N$65,N99,O99,$F99:$J99,P99,$N$23,E99)</f>
        <v>REQUIRED</v>
      </c>
      <c r="R99" s="107"/>
    </row>
    <row r="100" spans="3:18" x14ac:dyDescent="0.25">
      <c r="D100" s="55" t="s">
        <v>509</v>
      </c>
      <c r="E100" s="105"/>
      <c r="F100" s="101">
        <v>400</v>
      </c>
      <c r="G100" s="102">
        <v>300</v>
      </c>
      <c r="H100" s="103">
        <v>250</v>
      </c>
      <c r="J100" s="112" t="s">
        <v>75</v>
      </c>
      <c r="M100" s="120" t="str">
        <f t="shared" si="5"/>
        <v>Mooring/Docking Lines</v>
      </c>
      <c r="N100" s="107" t="s">
        <v>588</v>
      </c>
      <c r="O100" s="116" t="s">
        <v>632</v>
      </c>
      <c r="P100" s="113">
        <v>0</v>
      </c>
      <c r="Q100" s="117" t="str">
        <f ca="1">CalculateInvestment($N$65,N100,O100,$F100:$J100,P100,$N$23,E100)</f>
        <v>REQUIRED</v>
      </c>
      <c r="R100" s="107"/>
    </row>
    <row r="101" spans="3:18" x14ac:dyDescent="0.25">
      <c r="D101" s="55" t="s">
        <v>510</v>
      </c>
      <c r="E101" s="105"/>
      <c r="F101" s="101">
        <v>1000</v>
      </c>
      <c r="G101" s="102">
        <v>800</v>
      </c>
      <c r="H101" s="103">
        <v>600</v>
      </c>
      <c r="J101" s="112" t="s">
        <v>75</v>
      </c>
      <c r="M101" s="120" t="str">
        <f t="shared" si="5"/>
        <v>Fenders</v>
      </c>
      <c r="N101" s="107" t="s">
        <v>588</v>
      </c>
      <c r="O101" s="116" t="s">
        <v>632</v>
      </c>
      <c r="P101" s="113">
        <v>0</v>
      </c>
      <c r="Q101" s="117" t="str">
        <f ca="1">CalculateInvestment($N$65,N101,O101,$F101:$J101,P101,$N$23,E101)</f>
        <v>REQUIRED</v>
      </c>
      <c r="R101" s="107"/>
    </row>
    <row r="102" spans="3:18" x14ac:dyDescent="0.25">
      <c r="C102" t="s">
        <v>522</v>
      </c>
    </row>
    <row r="103" spans="3:18" x14ac:dyDescent="0.25">
      <c r="D103" s="55" t="s">
        <v>572</v>
      </c>
      <c r="E103" s="105"/>
      <c r="F103" s="114" t="s">
        <v>569</v>
      </c>
      <c r="G103" s="114" t="s">
        <v>569</v>
      </c>
      <c r="H103" s="114" t="s">
        <v>569</v>
      </c>
      <c r="J103" s="112" t="s">
        <v>75</v>
      </c>
      <c r="M103" s="120" t="str">
        <f t="shared" si="5"/>
        <v>Mast, Spreaders And Boom</v>
      </c>
      <c r="N103" s="107" t="s">
        <v>588</v>
      </c>
      <c r="O103" s="116" t="s">
        <v>632</v>
      </c>
      <c r="P103" s="113">
        <v>0</v>
      </c>
      <c r="Q103" s="117" t="str">
        <f t="shared" ref="Q103:Q123" ca="1" si="6">CalculateInvestment($N$65,N103,O103,$F103:$J103,P103,$N$23,E103)</f>
        <v>REQUIRED</v>
      </c>
      <c r="R103" s="107"/>
    </row>
    <row r="104" spans="3:18" x14ac:dyDescent="0.25">
      <c r="D104" s="55" t="s">
        <v>679</v>
      </c>
      <c r="E104" s="143" t="s">
        <v>674</v>
      </c>
      <c r="F104" s="101">
        <v>5000</v>
      </c>
      <c r="G104" s="102">
        <v>4200</v>
      </c>
      <c r="H104" s="103">
        <v>3600</v>
      </c>
      <c r="J104" s="112" t="s">
        <v>75</v>
      </c>
      <c r="M104" s="120" t="str">
        <f t="shared" si="5"/>
        <v>Standing Rigging →</v>
      </c>
      <c r="N104" s="107" t="s">
        <v>588</v>
      </c>
      <c r="O104" s="116" t="s">
        <v>632</v>
      </c>
      <c r="P104" s="113">
        <v>0</v>
      </c>
      <c r="Q104" s="117" t="str">
        <f t="shared" ca="1" si="6"/>
        <v>REQUIRED</v>
      </c>
      <c r="R104" s="107"/>
    </row>
    <row r="105" spans="3:18" x14ac:dyDescent="0.25">
      <c r="D105" s="55" t="s">
        <v>680</v>
      </c>
      <c r="E105" s="143" t="s">
        <v>674</v>
      </c>
      <c r="F105" s="101">
        <v>3000</v>
      </c>
      <c r="G105" s="102">
        <v>2500</v>
      </c>
      <c r="H105" s="103">
        <v>2500</v>
      </c>
      <c r="J105" s="112" t="s">
        <v>75</v>
      </c>
      <c r="M105" s="120" t="str">
        <f t="shared" si="5"/>
        <v>Furling Systems →</v>
      </c>
      <c r="N105" s="107" t="s">
        <v>588</v>
      </c>
      <c r="O105" s="116" t="s">
        <v>632</v>
      </c>
      <c r="P105" s="113">
        <v>0</v>
      </c>
      <c r="Q105" s="117" t="str">
        <f t="shared" ca="1" si="6"/>
        <v>REQUIRED</v>
      </c>
      <c r="R105" s="107"/>
    </row>
    <row r="106" spans="3:18" x14ac:dyDescent="0.25">
      <c r="D106" s="55" t="s">
        <v>681</v>
      </c>
      <c r="E106" s="143" t="s">
        <v>674</v>
      </c>
      <c r="F106" s="101">
        <v>2000</v>
      </c>
      <c r="G106" s="102">
        <v>1500</v>
      </c>
      <c r="H106" s="103">
        <v>1500</v>
      </c>
      <c r="J106" s="112" t="s">
        <v>75</v>
      </c>
      <c r="M106" s="120" t="str">
        <f t="shared" si="5"/>
        <v>Running Rigging →</v>
      </c>
      <c r="N106" s="107" t="s">
        <v>588</v>
      </c>
      <c r="O106" s="116" t="s">
        <v>632</v>
      </c>
      <c r="P106" s="113">
        <v>0</v>
      </c>
      <c r="Q106" s="117" t="str">
        <f t="shared" ca="1" si="6"/>
        <v>REQUIRED</v>
      </c>
      <c r="R106" s="107"/>
    </row>
    <row r="107" spans="3:18" x14ac:dyDescent="0.25">
      <c r="D107" s="55" t="s">
        <v>682</v>
      </c>
      <c r="E107" s="143" t="s">
        <v>674</v>
      </c>
      <c r="F107" s="101">
        <v>11000</v>
      </c>
      <c r="G107" s="102">
        <v>8000</v>
      </c>
      <c r="H107" s="103">
        <v>8000</v>
      </c>
      <c r="J107" s="112" t="s">
        <v>75</v>
      </c>
      <c r="M107" s="120" t="str">
        <f t="shared" si="5"/>
        <v>Sails →</v>
      </c>
      <c r="N107" s="107" t="s">
        <v>588</v>
      </c>
      <c r="O107" s="116" t="s">
        <v>632</v>
      </c>
      <c r="P107" s="113">
        <v>0</v>
      </c>
      <c r="Q107" s="117" t="str">
        <f t="shared" ca="1" si="6"/>
        <v>REQUIRED</v>
      </c>
      <c r="R107" s="107"/>
    </row>
    <row r="108" spans="3:18" x14ac:dyDescent="0.25">
      <c r="D108" s="55" t="s">
        <v>573</v>
      </c>
      <c r="E108" s="143" t="s">
        <v>674</v>
      </c>
      <c r="F108" s="101">
        <v>2000</v>
      </c>
      <c r="G108" s="102">
        <v>1500</v>
      </c>
      <c r="H108" s="103">
        <v>1000</v>
      </c>
      <c r="J108" s="112" t="s">
        <v>75</v>
      </c>
      <c r="M108" s="120" t="str">
        <f t="shared" si="5"/>
        <v>Stackpack/Lazy Jacks</v>
      </c>
      <c r="N108" s="107" t="s">
        <v>588</v>
      </c>
      <c r="O108" s="116" t="s">
        <v>632</v>
      </c>
      <c r="P108" s="113">
        <v>0</v>
      </c>
      <c r="Q108" s="117" t="str">
        <f t="shared" ca="1" si="6"/>
        <v>REQUIRED</v>
      </c>
      <c r="R108" s="107"/>
    </row>
    <row r="109" spans="3:18" x14ac:dyDescent="0.25">
      <c r="D109" s="55" t="s">
        <v>683</v>
      </c>
      <c r="E109" s="143" t="s">
        <v>674</v>
      </c>
      <c r="F109" s="101">
        <v>2000</v>
      </c>
      <c r="G109" s="102">
        <v>1700</v>
      </c>
      <c r="H109" s="103">
        <v>1700</v>
      </c>
      <c r="J109" s="112" t="s">
        <v>75</v>
      </c>
      <c r="M109" s="120" t="str">
        <f t="shared" si="5"/>
        <v>Blocks, Tracks →</v>
      </c>
      <c r="N109" s="107" t="s">
        <v>588</v>
      </c>
      <c r="O109" s="116" t="s">
        <v>632</v>
      </c>
      <c r="P109" s="113">
        <v>0</v>
      </c>
      <c r="Q109" s="117" t="str">
        <f t="shared" ca="1" si="6"/>
        <v>REQUIRED</v>
      </c>
      <c r="R109" s="107"/>
    </row>
    <row r="110" spans="3:18" x14ac:dyDescent="0.25">
      <c r="D110" s="55" t="s">
        <v>564</v>
      </c>
      <c r="E110" s="105"/>
      <c r="F110" s="114" t="s">
        <v>569</v>
      </c>
      <c r="G110" s="114" t="s">
        <v>569</v>
      </c>
      <c r="H110" s="114" t="s">
        <v>569</v>
      </c>
      <c r="J110" s="112" t="s">
        <v>75</v>
      </c>
      <c r="M110" s="120" t="str">
        <f t="shared" si="5"/>
        <v>Winches</v>
      </c>
      <c r="N110" s="107" t="s">
        <v>588</v>
      </c>
      <c r="O110" s="116" t="s">
        <v>632</v>
      </c>
      <c r="P110" s="113">
        <v>0</v>
      </c>
      <c r="Q110" s="117" t="str">
        <f t="shared" ca="1" si="6"/>
        <v>REQUIRED</v>
      </c>
      <c r="R110" s="107"/>
    </row>
    <row r="111" spans="3:18" x14ac:dyDescent="0.25">
      <c r="C111" t="s">
        <v>523</v>
      </c>
      <c r="N111" s="107" t="s">
        <v>588</v>
      </c>
      <c r="O111" s="116" t="s">
        <v>632</v>
      </c>
      <c r="P111" s="113">
        <v>0</v>
      </c>
      <c r="Q111" s="117">
        <f t="shared" ca="1" si="6"/>
        <v>0</v>
      </c>
      <c r="R111" s="107"/>
    </row>
    <row r="112" spans="3:18" x14ac:dyDescent="0.25">
      <c r="D112" s="55" t="s">
        <v>539</v>
      </c>
      <c r="E112" s="105"/>
      <c r="F112" s="114" t="s">
        <v>569</v>
      </c>
      <c r="G112" s="114" t="s">
        <v>569</v>
      </c>
      <c r="H112" s="114" t="s">
        <v>569</v>
      </c>
      <c r="J112" s="112" t="s">
        <v>75</v>
      </c>
      <c r="M112" s="120" t="str">
        <f t="shared" si="5"/>
        <v>Structure</v>
      </c>
      <c r="N112" s="107" t="s">
        <v>588</v>
      </c>
      <c r="O112" s="116" t="s">
        <v>632</v>
      </c>
      <c r="P112" s="113">
        <v>0</v>
      </c>
      <c r="Q112" s="117" t="str">
        <f t="shared" ca="1" si="6"/>
        <v>REQUIRED</v>
      </c>
      <c r="R112" s="107"/>
    </row>
    <row r="113" spans="2:18" x14ac:dyDescent="0.25">
      <c r="D113" s="55" t="s">
        <v>540</v>
      </c>
      <c r="E113" s="105"/>
      <c r="F113" s="114" t="s">
        <v>569</v>
      </c>
      <c r="G113" s="114" t="s">
        <v>569</v>
      </c>
      <c r="H113" s="114" t="s">
        <v>569</v>
      </c>
      <c r="J113" s="112" t="s">
        <v>75</v>
      </c>
      <c r="M113" s="120" t="str">
        <f t="shared" si="5"/>
        <v>Teak</v>
      </c>
      <c r="N113" s="107" t="s">
        <v>588</v>
      </c>
      <c r="O113" s="116" t="s">
        <v>632</v>
      </c>
      <c r="P113" s="113">
        <v>0</v>
      </c>
      <c r="Q113" s="117" t="str">
        <f t="shared" ca="1" si="6"/>
        <v>REQUIRED</v>
      </c>
      <c r="R113" s="107"/>
    </row>
    <row r="114" spans="2:18" x14ac:dyDescent="0.25">
      <c r="D114" s="55" t="s">
        <v>538</v>
      </c>
      <c r="E114" s="143" t="s">
        <v>674</v>
      </c>
      <c r="F114" s="101">
        <v>3000</v>
      </c>
      <c r="G114" s="102">
        <v>500</v>
      </c>
      <c r="H114" s="103">
        <v>100</v>
      </c>
      <c r="J114" s="112" t="s">
        <v>75</v>
      </c>
      <c r="M114" s="120" t="str">
        <f t="shared" si="5"/>
        <v>Brightwork</v>
      </c>
      <c r="N114" s="107" t="s">
        <v>588</v>
      </c>
      <c r="O114" s="116" t="s">
        <v>632</v>
      </c>
      <c r="P114" s="113">
        <v>0</v>
      </c>
      <c r="Q114" s="117" t="str">
        <f t="shared" ca="1" si="6"/>
        <v>REQUIRED</v>
      </c>
      <c r="R114" s="107"/>
    </row>
    <row r="115" spans="2:18" x14ac:dyDescent="0.25">
      <c r="D115" s="55" t="s">
        <v>512</v>
      </c>
      <c r="E115" s="143" t="s">
        <v>674</v>
      </c>
      <c r="F115" s="101">
        <v>3000</v>
      </c>
      <c r="G115" s="102">
        <v>1500</v>
      </c>
      <c r="H115" s="103">
        <v>400</v>
      </c>
      <c r="J115" s="112" t="s">
        <v>75</v>
      </c>
      <c r="M115" s="120" t="str">
        <f t="shared" si="5"/>
        <v>Lifelines, Stanchions</v>
      </c>
      <c r="N115" s="107" t="s">
        <v>588</v>
      </c>
      <c r="O115" s="116" t="s">
        <v>632</v>
      </c>
      <c r="P115" s="113">
        <v>0</v>
      </c>
      <c r="Q115" s="117" t="str">
        <f t="shared" ca="1" si="6"/>
        <v>REQUIRED</v>
      </c>
      <c r="R115" s="107"/>
    </row>
    <row r="116" spans="2:18" x14ac:dyDescent="0.25">
      <c r="D116" s="55" t="s">
        <v>513</v>
      </c>
      <c r="E116" s="143" t="s">
        <v>674</v>
      </c>
      <c r="F116" s="101">
        <v>2000</v>
      </c>
      <c r="G116" s="102">
        <v>1500</v>
      </c>
      <c r="H116" s="103">
        <v>1500</v>
      </c>
      <c r="J116" s="112" t="s">
        <v>75</v>
      </c>
      <c r="M116" s="120" t="str">
        <f t="shared" si="5"/>
        <v>Hatches, Portlights</v>
      </c>
      <c r="N116" s="107" t="s">
        <v>588</v>
      </c>
      <c r="O116" s="116" t="s">
        <v>632</v>
      </c>
      <c r="P116" s="113">
        <v>0</v>
      </c>
      <c r="Q116" s="117" t="str">
        <f t="shared" ca="1" si="6"/>
        <v>REQUIRED</v>
      </c>
      <c r="R116" s="107"/>
    </row>
    <row r="117" spans="2:18" x14ac:dyDescent="0.25">
      <c r="D117" s="55" t="s">
        <v>684</v>
      </c>
      <c r="E117" s="106"/>
      <c r="F117" s="101">
        <v>2000</v>
      </c>
      <c r="G117" s="102">
        <v>1400</v>
      </c>
      <c r="H117" s="103">
        <v>1400</v>
      </c>
      <c r="J117" s="112" t="s">
        <v>75</v>
      </c>
      <c r="M117" s="120" t="str">
        <f t="shared" si="5"/>
        <v>Dodger →</v>
      </c>
      <c r="N117" s="107" t="s">
        <v>588</v>
      </c>
      <c r="O117" s="116" t="s">
        <v>632</v>
      </c>
      <c r="P117" s="113">
        <v>0</v>
      </c>
      <c r="Q117" s="117" t="str">
        <f t="shared" ca="1" si="6"/>
        <v>REQUIRED</v>
      </c>
      <c r="R117" s="107"/>
    </row>
    <row r="118" spans="2:18" x14ac:dyDescent="0.25">
      <c r="D118" s="55" t="s">
        <v>685</v>
      </c>
      <c r="E118" s="106"/>
      <c r="F118" s="101">
        <v>1800</v>
      </c>
      <c r="G118" s="102">
        <v>1100</v>
      </c>
      <c r="H118" s="103">
        <v>1100</v>
      </c>
      <c r="J118" s="112" t="s">
        <v>75</v>
      </c>
      <c r="M118" s="120" t="str">
        <f t="shared" si="5"/>
        <v>Bimini/Hardtop →</v>
      </c>
      <c r="N118" s="107" t="s">
        <v>588</v>
      </c>
      <c r="O118" s="116" t="s">
        <v>632</v>
      </c>
      <c r="P118" s="113">
        <v>0</v>
      </c>
      <c r="Q118" s="117" t="str">
        <f t="shared" ca="1" si="6"/>
        <v>REQUIRED</v>
      </c>
      <c r="R118" s="107"/>
    </row>
    <row r="119" spans="2:18" x14ac:dyDescent="0.25">
      <c r="D119" s="55" t="s">
        <v>686</v>
      </c>
      <c r="E119" s="106"/>
      <c r="F119" s="101">
        <v>5000</v>
      </c>
      <c r="G119" s="102">
        <v>4000</v>
      </c>
      <c r="H119" s="103">
        <v>4000</v>
      </c>
      <c r="M119" s="120" t="str">
        <f t="shared" si="5"/>
        <v>Solar Arch →</v>
      </c>
      <c r="N119" s="107" t="s">
        <v>588</v>
      </c>
      <c r="O119" s="116" t="s">
        <v>632</v>
      </c>
      <c r="P119" s="113">
        <v>0</v>
      </c>
      <c r="Q119" s="117">
        <f t="shared" ca="1" si="6"/>
        <v>0</v>
      </c>
      <c r="R119" s="107"/>
    </row>
    <row r="120" spans="2:18" x14ac:dyDescent="0.25">
      <c r="D120" s="55" t="s">
        <v>592</v>
      </c>
      <c r="E120" s="106"/>
      <c r="F120" s="101">
        <v>0</v>
      </c>
      <c r="G120" s="102">
        <v>0</v>
      </c>
      <c r="H120" s="103">
        <v>0</v>
      </c>
      <c r="M120" s="120" t="str">
        <f t="shared" si="5"/>
        <v>Davits</v>
      </c>
      <c r="N120" s="107" t="s">
        <v>588</v>
      </c>
      <c r="O120" s="116" t="s">
        <v>632</v>
      </c>
      <c r="P120" s="113">
        <v>0</v>
      </c>
      <c r="Q120" s="117">
        <f t="shared" ca="1" si="6"/>
        <v>0</v>
      </c>
      <c r="R120" s="107"/>
    </row>
    <row r="121" spans="2:18" x14ac:dyDescent="0.25">
      <c r="D121" s="55" t="s">
        <v>687</v>
      </c>
      <c r="E121" s="143" t="s">
        <v>674</v>
      </c>
      <c r="F121" s="101">
        <v>1500</v>
      </c>
      <c r="G121" s="102">
        <v>1000</v>
      </c>
      <c r="H121" s="103">
        <v>1000</v>
      </c>
      <c r="J121" s="112" t="s">
        <v>75</v>
      </c>
      <c r="M121" s="120" t="str">
        <f t="shared" si="5"/>
        <v>Awning →</v>
      </c>
      <c r="N121" s="107" t="s">
        <v>588</v>
      </c>
      <c r="O121" s="116" t="s">
        <v>632</v>
      </c>
      <c r="P121" s="113">
        <v>0</v>
      </c>
      <c r="Q121" s="117" t="str">
        <f t="shared" ca="1" si="6"/>
        <v>REQUIRED</v>
      </c>
      <c r="R121" s="107"/>
    </row>
    <row r="122" spans="2:18" x14ac:dyDescent="0.25">
      <c r="D122" s="55" t="s">
        <v>511</v>
      </c>
      <c r="E122" s="105"/>
      <c r="F122" s="101">
        <v>2000</v>
      </c>
      <c r="G122" s="102">
        <v>400</v>
      </c>
      <c r="H122" s="103">
        <v>250</v>
      </c>
      <c r="M122" s="120" t="str">
        <f t="shared" si="5"/>
        <v>Cockpit Upholstery</v>
      </c>
      <c r="N122" s="107" t="s">
        <v>588</v>
      </c>
      <c r="O122" s="116" t="s">
        <v>632</v>
      </c>
      <c r="P122" s="113">
        <v>0</v>
      </c>
      <c r="Q122" s="117">
        <f t="shared" ca="1" si="6"/>
        <v>0</v>
      </c>
      <c r="R122" s="107"/>
    </row>
    <row r="123" spans="2:18" x14ac:dyDescent="0.25">
      <c r="D123" s="55" t="s">
        <v>514</v>
      </c>
      <c r="E123" s="105"/>
      <c r="F123" s="101">
        <v>0</v>
      </c>
      <c r="G123" s="102">
        <v>0</v>
      </c>
      <c r="H123" s="103">
        <v>0</v>
      </c>
      <c r="M123" s="120" t="str">
        <f t="shared" si="5"/>
        <v>Swim Platform</v>
      </c>
      <c r="N123" s="107" t="s">
        <v>588</v>
      </c>
      <c r="O123" s="116" t="s">
        <v>632</v>
      </c>
      <c r="P123" s="113">
        <v>0</v>
      </c>
      <c r="Q123" s="117">
        <f t="shared" ca="1" si="6"/>
        <v>0</v>
      </c>
      <c r="R123" s="107"/>
    </row>
    <row r="125" spans="2:18" x14ac:dyDescent="0.25">
      <c r="B125" t="s">
        <v>31</v>
      </c>
    </row>
    <row r="126" spans="2:18" x14ac:dyDescent="0.25">
      <c r="C126" t="s">
        <v>524</v>
      </c>
    </row>
    <row r="127" spans="2:18" x14ac:dyDescent="0.25">
      <c r="D127" s="55" t="s">
        <v>525</v>
      </c>
      <c r="E127" s="143" t="s">
        <v>674</v>
      </c>
      <c r="F127" s="101">
        <v>6000</v>
      </c>
      <c r="G127" s="102">
        <v>4000</v>
      </c>
      <c r="H127" s="103">
        <v>2000</v>
      </c>
      <c r="J127" s="112" t="s">
        <v>75</v>
      </c>
      <c r="M127" s="120" t="str">
        <f t="shared" si="5"/>
        <v>Rudder</v>
      </c>
      <c r="N127" s="107" t="s">
        <v>588</v>
      </c>
      <c r="O127" s="116" t="s">
        <v>632</v>
      </c>
      <c r="P127" s="113">
        <v>0</v>
      </c>
      <c r="Q127" s="117" t="str">
        <f ca="1">CalculateInvestment($N$65,N127,O127,$F127:$J127,P127,$N$23,E127)</f>
        <v>REQUIRED</v>
      </c>
      <c r="R127" s="107"/>
    </row>
    <row r="128" spans="2:18" x14ac:dyDescent="0.25">
      <c r="D128" s="55" t="s">
        <v>507</v>
      </c>
      <c r="E128" s="143" t="s">
        <v>674</v>
      </c>
      <c r="F128" s="101">
        <v>10000</v>
      </c>
      <c r="G128" s="102">
        <v>7000</v>
      </c>
      <c r="H128" s="103">
        <v>4000</v>
      </c>
      <c r="J128" s="112" t="s">
        <v>75</v>
      </c>
      <c r="M128" s="120" t="str">
        <f t="shared" si="5"/>
        <v>Steering System</v>
      </c>
      <c r="N128" s="107" t="s">
        <v>588</v>
      </c>
      <c r="O128" s="116" t="s">
        <v>632</v>
      </c>
      <c r="P128" s="113">
        <v>0</v>
      </c>
      <c r="Q128" s="117" t="str">
        <f ca="1">CalculateInvestment($N$65,N128,O128,$F128:$J128,P128,$N$23,E128)</f>
        <v>REQUIRED</v>
      </c>
      <c r="R128" s="107"/>
    </row>
    <row r="129" spans="3:18" x14ac:dyDescent="0.25">
      <c r="D129" s="55" t="s">
        <v>717</v>
      </c>
      <c r="E129" s="105"/>
      <c r="F129" s="101">
        <v>4000</v>
      </c>
      <c r="G129" s="102">
        <v>3000</v>
      </c>
      <c r="H129" s="103">
        <v>2000</v>
      </c>
      <c r="J129" s="112" t="s">
        <v>75</v>
      </c>
      <c r="M129" s="120" t="str">
        <f t="shared" si="5"/>
        <v>Pedestral/Wheel</v>
      </c>
      <c r="N129" s="107" t="s">
        <v>588</v>
      </c>
      <c r="O129" s="116" t="s">
        <v>632</v>
      </c>
      <c r="P129" s="113">
        <v>0</v>
      </c>
      <c r="Q129" s="117" t="str">
        <f ca="1">CalculateInvestment($N$65,N129,O129,$F129:$J129,P129,$N$23,E129)</f>
        <v>REQUIRED</v>
      </c>
      <c r="R129" s="107"/>
    </row>
    <row r="130" spans="3:18" x14ac:dyDescent="0.25">
      <c r="D130" s="55" t="s">
        <v>515</v>
      </c>
      <c r="E130" s="143" t="s">
        <v>674</v>
      </c>
      <c r="F130" s="101">
        <v>7000</v>
      </c>
      <c r="G130" s="102">
        <v>5000</v>
      </c>
      <c r="H130" s="103">
        <v>4000</v>
      </c>
      <c r="M130" s="120" t="str">
        <f t="shared" si="5"/>
        <v>Windwane</v>
      </c>
      <c r="N130" s="107" t="s">
        <v>588</v>
      </c>
      <c r="O130" s="116" t="s">
        <v>632</v>
      </c>
      <c r="P130" s="113">
        <v>0</v>
      </c>
      <c r="Q130" s="117">
        <f ca="1">CalculateInvestment($N$65,N130,O130,$F130:$J130,P130,$N$23,E130)</f>
        <v>0</v>
      </c>
      <c r="R130" s="107"/>
    </row>
    <row r="131" spans="3:18" x14ac:dyDescent="0.25">
      <c r="C131" t="s">
        <v>526</v>
      </c>
    </row>
    <row r="132" spans="3:18" x14ac:dyDescent="0.25">
      <c r="D132" s="55" t="s">
        <v>383</v>
      </c>
      <c r="E132" s="143" t="s">
        <v>674</v>
      </c>
      <c r="F132" s="101">
        <v>20000</v>
      </c>
      <c r="G132" s="102">
        <v>12000</v>
      </c>
      <c r="H132" s="103">
        <v>6000</v>
      </c>
      <c r="J132" s="112" t="s">
        <v>75</v>
      </c>
      <c r="M132" s="120" t="str">
        <f t="shared" si="5"/>
        <v>Engine</v>
      </c>
      <c r="N132" s="107" t="s">
        <v>588</v>
      </c>
      <c r="O132" s="116" t="s">
        <v>632</v>
      </c>
      <c r="P132" s="113">
        <v>0</v>
      </c>
      <c r="Q132" s="117" t="str">
        <f t="shared" ref="Q132:Q140" ca="1" si="7">CalculateInvestment($N$65,N132,O132,$F132:$J132,P132,$N$23,E132)</f>
        <v>REQUIRED</v>
      </c>
      <c r="R132" s="107"/>
    </row>
    <row r="133" spans="3:18" x14ac:dyDescent="0.25">
      <c r="D133" s="55" t="s">
        <v>496</v>
      </c>
      <c r="E133" s="143" t="s">
        <v>674</v>
      </c>
      <c r="F133" s="101">
        <v>4500</v>
      </c>
      <c r="G133" s="102">
        <v>3500</v>
      </c>
      <c r="H133" s="103">
        <v>2500</v>
      </c>
      <c r="J133" s="112" t="s">
        <v>75</v>
      </c>
      <c r="M133" s="120" t="str">
        <f t="shared" si="5"/>
        <v>Transmission</v>
      </c>
      <c r="N133" s="107" t="s">
        <v>588</v>
      </c>
      <c r="O133" s="116" t="s">
        <v>632</v>
      </c>
      <c r="P133" s="113">
        <v>0</v>
      </c>
      <c r="Q133" s="117" t="str">
        <f t="shared" ca="1" si="7"/>
        <v>REQUIRED</v>
      </c>
      <c r="R133" s="107"/>
    </row>
    <row r="134" spans="3:18" x14ac:dyDescent="0.25">
      <c r="D134" s="55" t="s">
        <v>718</v>
      </c>
      <c r="E134" s="143" t="s">
        <v>674</v>
      </c>
      <c r="F134" s="101">
        <v>2500</v>
      </c>
      <c r="G134" s="102">
        <v>1500</v>
      </c>
      <c r="H134" s="103">
        <v>1000</v>
      </c>
      <c r="J134" s="112" t="s">
        <v>75</v>
      </c>
      <c r="M134" s="120" t="str">
        <f t="shared" si="5"/>
        <v>Prop Shaft, Packing, Cutlass Bearing</v>
      </c>
      <c r="N134" s="107" t="s">
        <v>588</v>
      </c>
      <c r="O134" s="116" t="s">
        <v>632</v>
      </c>
      <c r="P134" s="113">
        <v>0</v>
      </c>
      <c r="Q134" s="117" t="str">
        <f t="shared" ca="1" si="7"/>
        <v>REQUIRED</v>
      </c>
      <c r="R134" s="107"/>
    </row>
    <row r="135" spans="3:18" x14ac:dyDescent="0.25">
      <c r="D135" s="55" t="s">
        <v>389</v>
      </c>
      <c r="E135" s="143" t="s">
        <v>674</v>
      </c>
      <c r="F135" s="101">
        <v>4000</v>
      </c>
      <c r="G135" s="102">
        <v>1000</v>
      </c>
      <c r="H135" s="103">
        <v>600</v>
      </c>
      <c r="J135" s="112" t="s">
        <v>75</v>
      </c>
      <c r="M135" s="120" t="str">
        <f t="shared" si="5"/>
        <v>Propeller</v>
      </c>
      <c r="N135" s="107" t="s">
        <v>588</v>
      </c>
      <c r="O135" s="116" t="s">
        <v>632</v>
      </c>
      <c r="P135" s="113">
        <v>0</v>
      </c>
      <c r="Q135" s="117" t="str">
        <f t="shared" ca="1" si="7"/>
        <v>REQUIRED</v>
      </c>
      <c r="R135" s="107"/>
    </row>
    <row r="136" spans="3:18" x14ac:dyDescent="0.25">
      <c r="D136" s="55" t="s">
        <v>506</v>
      </c>
      <c r="E136" s="143" t="s">
        <v>674</v>
      </c>
      <c r="F136" s="101">
        <v>3500</v>
      </c>
      <c r="G136" s="102">
        <v>2500</v>
      </c>
      <c r="H136" s="103">
        <v>1500</v>
      </c>
      <c r="J136" s="112" t="s">
        <v>75</v>
      </c>
      <c r="M136" s="120" t="str">
        <f t="shared" si="5"/>
        <v>Engine Exhaust System</v>
      </c>
      <c r="N136" s="107" t="s">
        <v>588</v>
      </c>
      <c r="O136" s="116" t="s">
        <v>632</v>
      </c>
      <c r="P136" s="113">
        <v>0</v>
      </c>
      <c r="Q136" s="117" t="str">
        <f t="shared" ca="1" si="7"/>
        <v>REQUIRED</v>
      </c>
      <c r="R136" s="107"/>
    </row>
    <row r="137" spans="3:18" x14ac:dyDescent="0.25">
      <c r="D137" s="55" t="s">
        <v>497</v>
      </c>
      <c r="E137" s="105"/>
      <c r="F137" s="101">
        <v>300</v>
      </c>
      <c r="G137" s="102">
        <v>200</v>
      </c>
      <c r="H137" s="103">
        <v>150</v>
      </c>
      <c r="J137" s="112" t="s">
        <v>75</v>
      </c>
      <c r="M137" s="120" t="str">
        <f t="shared" si="5"/>
        <v>Engine Start Battery</v>
      </c>
      <c r="N137" s="107" t="s">
        <v>588</v>
      </c>
      <c r="O137" s="116" t="s">
        <v>632</v>
      </c>
      <c r="P137" s="113">
        <v>0</v>
      </c>
      <c r="Q137" s="117" t="str">
        <f t="shared" ca="1" si="7"/>
        <v>REQUIRED</v>
      </c>
      <c r="R137" s="107"/>
    </row>
    <row r="138" spans="3:18" x14ac:dyDescent="0.25">
      <c r="D138" s="55" t="s">
        <v>499</v>
      </c>
      <c r="E138" s="105"/>
      <c r="F138" s="101">
        <v>2000</v>
      </c>
      <c r="G138" s="102">
        <v>1200</v>
      </c>
      <c r="H138" s="103">
        <v>600</v>
      </c>
      <c r="J138" s="112" t="s">
        <v>75</v>
      </c>
      <c r="M138" s="120" t="str">
        <f t="shared" si="5"/>
        <v>Engine Instruments</v>
      </c>
      <c r="N138" s="107" t="s">
        <v>588</v>
      </c>
      <c r="O138" s="116" t="s">
        <v>632</v>
      </c>
      <c r="P138" s="113">
        <v>0</v>
      </c>
      <c r="Q138" s="117" t="str">
        <f t="shared" ca="1" si="7"/>
        <v>REQUIRED</v>
      </c>
      <c r="R138" s="107"/>
    </row>
    <row r="139" spans="3:18" x14ac:dyDescent="0.25">
      <c r="D139" s="55" t="s">
        <v>498</v>
      </c>
      <c r="E139" s="105"/>
      <c r="F139" s="101">
        <v>900</v>
      </c>
      <c r="G139" s="102">
        <v>500</v>
      </c>
      <c r="H139" s="103">
        <v>400</v>
      </c>
      <c r="J139" s="112" t="s">
        <v>75</v>
      </c>
      <c r="M139" s="120" t="str">
        <f t="shared" si="5"/>
        <v>Engine Controls</v>
      </c>
      <c r="N139" s="107" t="s">
        <v>588</v>
      </c>
      <c r="O139" s="116" t="s">
        <v>632</v>
      </c>
      <c r="P139" s="113">
        <v>0</v>
      </c>
      <c r="Q139" s="117" t="str">
        <f t="shared" ca="1" si="7"/>
        <v>REQUIRED</v>
      </c>
      <c r="R139" s="107"/>
    </row>
    <row r="140" spans="3:18" x14ac:dyDescent="0.25">
      <c r="D140" s="55" t="s">
        <v>602</v>
      </c>
      <c r="E140" s="105"/>
      <c r="F140" s="101">
        <v>1500</v>
      </c>
      <c r="G140" s="102">
        <v>1000</v>
      </c>
      <c r="H140" s="103">
        <v>500</v>
      </c>
      <c r="J140" s="112" t="s">
        <v>75</v>
      </c>
      <c r="M140" s="120" t="str">
        <f t="shared" si="5"/>
        <v>Engine Ventilation</v>
      </c>
      <c r="N140" s="107" t="s">
        <v>588</v>
      </c>
      <c r="O140" s="116" t="s">
        <v>632</v>
      </c>
      <c r="P140" s="113">
        <v>0</v>
      </c>
      <c r="Q140" s="117" t="str">
        <f t="shared" ca="1" si="7"/>
        <v>REQUIRED</v>
      </c>
      <c r="R140" s="107"/>
    </row>
    <row r="141" spans="3:18" x14ac:dyDescent="0.25">
      <c r="C141" t="s">
        <v>505</v>
      </c>
      <c r="E141"/>
      <c r="F141"/>
      <c r="G141"/>
      <c r="H141"/>
    </row>
    <row r="142" spans="3:18" x14ac:dyDescent="0.25">
      <c r="D142" s="55" t="s">
        <v>505</v>
      </c>
      <c r="E142" s="105"/>
      <c r="F142" s="101">
        <v>15000</v>
      </c>
      <c r="G142" s="102">
        <v>10000</v>
      </c>
      <c r="H142" s="103">
        <v>7000</v>
      </c>
      <c r="M142" s="120" t="str">
        <f t="shared" si="5"/>
        <v>Generator</v>
      </c>
      <c r="N142" s="107" t="s">
        <v>588</v>
      </c>
      <c r="O142" s="116" t="s">
        <v>632</v>
      </c>
      <c r="P142" s="113">
        <v>0</v>
      </c>
      <c r="Q142" s="117">
        <f ca="1">CalculateInvestment($N$65,N142,O142,$F142:$J142,P142,$N$23,E142)</f>
        <v>0</v>
      </c>
      <c r="R142" s="107"/>
    </row>
    <row r="143" spans="3:18" x14ac:dyDescent="0.25">
      <c r="C143" t="s">
        <v>528</v>
      </c>
    </row>
    <row r="144" spans="3:18" x14ac:dyDescent="0.25">
      <c r="D144" s="55" t="s">
        <v>688</v>
      </c>
      <c r="E144" s="106"/>
      <c r="F144" s="101">
        <v>1000</v>
      </c>
      <c r="G144" s="102">
        <v>700</v>
      </c>
      <c r="H144" s="103">
        <v>600</v>
      </c>
      <c r="J144" s="112" t="s">
        <v>75</v>
      </c>
      <c r="M144" s="120" t="str">
        <f t="shared" si="5"/>
        <v>Shore Power Connection →</v>
      </c>
      <c r="N144" s="107" t="s">
        <v>588</v>
      </c>
      <c r="O144" s="116" t="s">
        <v>632</v>
      </c>
      <c r="P144" s="113">
        <v>0</v>
      </c>
      <c r="Q144" s="117" t="str">
        <f ca="1">CalculateInvestment($N$65,N144,O144,$F144:$J144,P144,$N$23,E144)</f>
        <v>REQUIRED</v>
      </c>
      <c r="R144" s="107"/>
    </row>
    <row r="145" spans="3:18" x14ac:dyDescent="0.25">
      <c r="D145" s="55" t="s">
        <v>719</v>
      </c>
      <c r="E145" s="106"/>
      <c r="F145" s="101">
        <v>2500</v>
      </c>
      <c r="G145" s="102">
        <v>1500</v>
      </c>
      <c r="H145" s="103">
        <v>800</v>
      </c>
      <c r="M145" s="120" t="str">
        <f t="shared" si="5"/>
        <v>AC Cabling, Fuses, Outlets, Switchboard</v>
      </c>
      <c r="N145" s="107" t="s">
        <v>588</v>
      </c>
      <c r="O145" s="116" t="s">
        <v>632</v>
      </c>
      <c r="P145" s="113">
        <v>0</v>
      </c>
      <c r="Q145" s="117">
        <f ca="1">CalculateInvestment($N$65,N145,O145,$F145:$J145,P145,$N$23,E145)</f>
        <v>0</v>
      </c>
      <c r="R145" s="107"/>
    </row>
    <row r="146" spans="3:18" x14ac:dyDescent="0.25">
      <c r="D146" s="55" t="s">
        <v>720</v>
      </c>
      <c r="E146" s="105"/>
      <c r="F146" s="101">
        <v>0</v>
      </c>
      <c r="G146" s="102">
        <v>0</v>
      </c>
      <c r="H146" s="103">
        <v>0</v>
      </c>
      <c r="J146" s="112" t="s">
        <v>75</v>
      </c>
      <c r="M146" s="120" t="str">
        <f t="shared" si="5"/>
        <v>Inverter 💡</v>
      </c>
      <c r="N146" s="107" t="s">
        <v>588</v>
      </c>
      <c r="O146" s="116" t="s">
        <v>632</v>
      </c>
      <c r="P146" s="113">
        <v>0</v>
      </c>
      <c r="Q146" s="117" t="str">
        <f ca="1">CalculateInvestment($N$65,N146,O146,$F146:$J146,P146,$N$23,E146)</f>
        <v>REQUIRED</v>
      </c>
      <c r="R146" s="107"/>
    </row>
    <row r="147" spans="3:18" x14ac:dyDescent="0.25">
      <c r="D147" s="55" t="s">
        <v>721</v>
      </c>
      <c r="E147" s="106"/>
      <c r="F147" s="101">
        <v>0</v>
      </c>
      <c r="G147" s="102">
        <v>0</v>
      </c>
      <c r="H147" s="103">
        <v>0</v>
      </c>
      <c r="J147" s="112" t="s">
        <v>75</v>
      </c>
      <c r="M147" s="120" t="str">
        <f t="shared" si="5"/>
        <v>AC Charger 💡</v>
      </c>
      <c r="N147" s="107" t="s">
        <v>588</v>
      </c>
      <c r="O147" s="116" t="s">
        <v>632</v>
      </c>
      <c r="P147" s="113">
        <v>0</v>
      </c>
      <c r="Q147" s="117" t="str">
        <f ca="1">CalculateInvestment($N$65,N147,O147,$F147:$J147,P147,$N$23,E147)</f>
        <v>REQUIRED</v>
      </c>
      <c r="R147" s="107"/>
    </row>
    <row r="148" spans="3:18" x14ac:dyDescent="0.25">
      <c r="C148" t="s">
        <v>527</v>
      </c>
    </row>
    <row r="149" spans="3:18" x14ac:dyDescent="0.25">
      <c r="D149" s="55" t="s">
        <v>689</v>
      </c>
      <c r="E149" s="106"/>
      <c r="F149" s="101">
        <v>0</v>
      </c>
      <c r="G149" s="102">
        <v>0</v>
      </c>
      <c r="H149" s="103">
        <v>0</v>
      </c>
      <c r="J149" s="112" t="s">
        <v>75</v>
      </c>
      <c r="M149" s="120" t="str">
        <f t="shared" si="5"/>
        <v>House Battery Bank 💡</v>
      </c>
      <c r="N149" s="107" t="s">
        <v>588</v>
      </c>
      <c r="O149" s="116" t="s">
        <v>632</v>
      </c>
      <c r="P149" s="113">
        <v>0</v>
      </c>
      <c r="Q149" s="117" t="str">
        <f ca="1">CalculateInvestment($N$65,N149,O149,$F149:$J149,P149,$N$23,E149)</f>
        <v>REQUIRED</v>
      </c>
      <c r="R149" s="107"/>
    </row>
    <row r="150" spans="3:18" x14ac:dyDescent="0.25">
      <c r="D150" s="55" t="s">
        <v>722</v>
      </c>
      <c r="E150" s="106"/>
      <c r="F150" s="101">
        <v>0</v>
      </c>
      <c r="G150" s="102">
        <v>0</v>
      </c>
      <c r="H150" s="103">
        <v>0</v>
      </c>
      <c r="J150" s="112" t="s">
        <v>75</v>
      </c>
      <c r="M150" s="120" t="str">
        <f t="shared" si="5"/>
        <v>Battery Monitoring 💡</v>
      </c>
      <c r="N150" s="107" t="s">
        <v>588</v>
      </c>
      <c r="O150" s="116" t="s">
        <v>632</v>
      </c>
      <c r="P150" s="113">
        <v>0</v>
      </c>
      <c r="Q150" s="117" t="str">
        <f ca="1">CalculateInvestment($N$65,N150,O150,$F150:$J150,P150,$N$23,E150)</f>
        <v>REQUIRED</v>
      </c>
      <c r="R150" s="107"/>
    </row>
    <row r="151" spans="3:18" x14ac:dyDescent="0.25">
      <c r="D151" s="55" t="s">
        <v>690</v>
      </c>
      <c r="E151" s="106"/>
      <c r="F151" s="101">
        <v>0</v>
      </c>
      <c r="G151" s="102">
        <v>0</v>
      </c>
      <c r="H151" s="103">
        <v>0</v>
      </c>
      <c r="J151" s="112" t="s">
        <v>75</v>
      </c>
      <c r="M151" s="120" t="str">
        <f t="shared" si="5"/>
        <v>Solar System 💡</v>
      </c>
      <c r="N151" s="107" t="s">
        <v>588</v>
      </c>
      <c r="O151" s="116" t="s">
        <v>632</v>
      </c>
      <c r="P151" s="113">
        <v>0</v>
      </c>
      <c r="Q151" s="117" t="str">
        <f ca="1">CalculateInvestment($N$65,N151,O151,$F151:$J151,P151,$N$23,E151)</f>
        <v>REQUIRED</v>
      </c>
      <c r="R151" s="107"/>
    </row>
    <row r="152" spans="3:18" x14ac:dyDescent="0.25">
      <c r="D152" s="55" t="s">
        <v>691</v>
      </c>
      <c r="E152" s="106"/>
      <c r="F152" s="101">
        <v>0</v>
      </c>
      <c r="G152" s="102">
        <v>0</v>
      </c>
      <c r="H152" s="103">
        <v>0</v>
      </c>
      <c r="J152" s="112" t="s">
        <v>75</v>
      </c>
      <c r="M152" s="120" t="str">
        <f t="shared" si="5"/>
        <v>Alternator Charging 💡</v>
      </c>
      <c r="N152" s="107" t="s">
        <v>588</v>
      </c>
      <c r="O152" s="116" t="s">
        <v>632</v>
      </c>
      <c r="P152" s="113">
        <v>0</v>
      </c>
      <c r="Q152" s="117" t="str">
        <f ca="1">CalculateInvestment($N$65,N152,O152,$F152:$J152,P152,$N$23,E152)</f>
        <v>REQUIRED</v>
      </c>
      <c r="R152" s="107"/>
    </row>
    <row r="153" spans="3:18" x14ac:dyDescent="0.25">
      <c r="D153" s="55" t="s">
        <v>67</v>
      </c>
      <c r="E153" s="105"/>
      <c r="F153" s="101">
        <v>3500</v>
      </c>
      <c r="G153" s="102">
        <v>2500</v>
      </c>
      <c r="H153" s="103">
        <v>1500</v>
      </c>
      <c r="M153" s="120" t="str">
        <f t="shared" si="5"/>
        <v>Wind Generator</v>
      </c>
      <c r="N153" s="107" t="s">
        <v>588</v>
      </c>
      <c r="O153" s="116" t="s">
        <v>632</v>
      </c>
      <c r="P153" s="113">
        <v>0</v>
      </c>
      <c r="Q153" s="117">
        <f ca="1">CalculateInvestment($N$65,N153,O153,$F153:$J153,P153,$N$23,E153)</f>
        <v>0</v>
      </c>
      <c r="R153" s="107"/>
    </row>
    <row r="154" spans="3:18" x14ac:dyDescent="0.25">
      <c r="C154" t="s">
        <v>529</v>
      </c>
    </row>
    <row r="155" spans="3:18" x14ac:dyDescent="0.25">
      <c r="D155" s="55" t="s">
        <v>504</v>
      </c>
      <c r="E155" s="143" t="s">
        <v>674</v>
      </c>
      <c r="F155" s="101">
        <v>4000</v>
      </c>
      <c r="G155" s="102">
        <v>2500</v>
      </c>
      <c r="H155" s="103">
        <v>1500</v>
      </c>
      <c r="J155" s="112" t="s">
        <v>75</v>
      </c>
      <c r="M155" s="120" t="str">
        <f t="shared" ref="M155:M218" si="8">$D155</f>
        <v>Electrical Wiring</v>
      </c>
      <c r="N155" s="107" t="s">
        <v>588</v>
      </c>
      <c r="O155" s="116" t="s">
        <v>632</v>
      </c>
      <c r="P155" s="113">
        <v>0</v>
      </c>
      <c r="Q155" s="117" t="str">
        <f ca="1">CalculateInvestment($N$65,N155,O155,$F155:$J155,P155,$N$23,E155)</f>
        <v>REQUIRED</v>
      </c>
      <c r="R155" s="107"/>
    </row>
    <row r="156" spans="3:18" x14ac:dyDescent="0.25">
      <c r="D156" s="55" t="s">
        <v>530</v>
      </c>
      <c r="E156" s="105"/>
      <c r="F156" s="101">
        <v>1500</v>
      </c>
      <c r="G156" s="102">
        <v>1000</v>
      </c>
      <c r="H156" s="103">
        <v>500</v>
      </c>
      <c r="J156" s="112" t="s">
        <v>75</v>
      </c>
      <c r="M156" s="120" t="str">
        <f t="shared" si="8"/>
        <v>DC Switchboard</v>
      </c>
      <c r="N156" s="107" t="s">
        <v>588</v>
      </c>
      <c r="O156" s="116" t="s">
        <v>632</v>
      </c>
      <c r="P156" s="113">
        <v>0</v>
      </c>
      <c r="Q156" s="117" t="str">
        <f ca="1">CalculateInvestment($N$65,N156,O156,$F156:$J156,P156,$N$23,E156)</f>
        <v>REQUIRED</v>
      </c>
      <c r="R156" s="107"/>
    </row>
    <row r="157" spans="3:18" x14ac:dyDescent="0.25">
      <c r="C157" t="s">
        <v>531</v>
      </c>
    </row>
    <row r="158" spans="3:18" x14ac:dyDescent="0.25">
      <c r="D158" s="55" t="s">
        <v>500</v>
      </c>
      <c r="E158" s="143" t="s">
        <v>674</v>
      </c>
      <c r="F158" s="101">
        <v>3000</v>
      </c>
      <c r="G158" s="102">
        <v>2000</v>
      </c>
      <c r="H158" s="103">
        <v>1000</v>
      </c>
      <c r="J158" s="112" t="s">
        <v>75</v>
      </c>
      <c r="M158" s="120" t="str">
        <f t="shared" si="8"/>
        <v>Fuel Tanks</v>
      </c>
      <c r="N158" s="107" t="s">
        <v>588</v>
      </c>
      <c r="O158" s="116" t="s">
        <v>632</v>
      </c>
      <c r="P158" s="113">
        <v>0</v>
      </c>
      <c r="Q158" s="117" t="str">
        <f ca="1">CalculateInvestment($N$65,N158,O158,$F158:$J158,P158,$N$23,E158)</f>
        <v>REQUIRED</v>
      </c>
      <c r="R158" s="107"/>
    </row>
    <row r="159" spans="3:18" x14ac:dyDescent="0.25">
      <c r="D159" s="55" t="s">
        <v>501</v>
      </c>
      <c r="E159" s="105"/>
      <c r="F159" s="101">
        <v>1000</v>
      </c>
      <c r="G159" s="102">
        <v>750</v>
      </c>
      <c r="H159" s="103">
        <v>400</v>
      </c>
      <c r="J159" s="112" t="s">
        <v>75</v>
      </c>
      <c r="M159" s="120" t="str">
        <f t="shared" si="8"/>
        <v>Fuel System (Lines, Filters)</v>
      </c>
      <c r="N159" s="107" t="s">
        <v>588</v>
      </c>
      <c r="O159" s="116" t="s">
        <v>632</v>
      </c>
      <c r="P159" s="113">
        <v>0</v>
      </c>
      <c r="Q159" s="117" t="str">
        <f ca="1">CalculateInvestment($N$65,N159,O159,$F159:$J159,P159,$N$23,E159)</f>
        <v>REQUIRED</v>
      </c>
      <c r="R159" s="107"/>
    </row>
    <row r="160" spans="3:18" x14ac:dyDescent="0.25">
      <c r="D160" s="55" t="s">
        <v>532</v>
      </c>
      <c r="E160" s="105"/>
      <c r="F160" s="101">
        <v>700</v>
      </c>
      <c r="G160" s="102">
        <v>400</v>
      </c>
      <c r="H160" s="103">
        <v>200</v>
      </c>
      <c r="J160" s="112" t="s">
        <v>75</v>
      </c>
      <c r="M160" s="120" t="str">
        <f t="shared" si="8"/>
        <v>Tank Monitoring</v>
      </c>
      <c r="N160" s="107" t="s">
        <v>588</v>
      </c>
      <c r="O160" s="116" t="s">
        <v>632</v>
      </c>
      <c r="P160" s="113">
        <v>0</v>
      </c>
      <c r="Q160" s="117" t="str">
        <f ca="1">CalculateInvestment($N$65,N160,O160,$F160:$J160,P160,$N$23,E160)</f>
        <v>REQUIRED</v>
      </c>
      <c r="R160" s="107"/>
    </row>
    <row r="161" spans="3:18" x14ac:dyDescent="0.25">
      <c r="D161" s="55" t="s">
        <v>533</v>
      </c>
      <c r="E161" s="105"/>
      <c r="F161" s="101">
        <v>3000</v>
      </c>
      <c r="G161" s="102">
        <v>2000</v>
      </c>
      <c r="H161" s="103">
        <v>1500</v>
      </c>
      <c r="M161" s="120" t="str">
        <f t="shared" si="8"/>
        <v>Diesel Polishing</v>
      </c>
      <c r="N161" s="107" t="s">
        <v>588</v>
      </c>
      <c r="O161" s="116" t="s">
        <v>632</v>
      </c>
      <c r="P161" s="113">
        <v>0</v>
      </c>
      <c r="Q161" s="117">
        <f ca="1">CalculateInvestment($N$65,N161,O161,$F161:$J161,P161,$N$23,E161)</f>
        <v>0</v>
      </c>
      <c r="R161" s="107"/>
    </row>
    <row r="162" spans="3:18" x14ac:dyDescent="0.25">
      <c r="C162" t="s">
        <v>534</v>
      </c>
    </row>
    <row r="163" spans="3:18" x14ac:dyDescent="0.25">
      <c r="D163" s="55" t="s">
        <v>502</v>
      </c>
      <c r="E163" s="143" t="s">
        <v>674</v>
      </c>
      <c r="F163" s="101">
        <v>1500</v>
      </c>
      <c r="G163" s="102">
        <v>1000</v>
      </c>
      <c r="H163" s="103">
        <v>500</v>
      </c>
      <c r="J163" s="112" t="s">
        <v>75</v>
      </c>
      <c r="M163" s="120" t="str">
        <f t="shared" si="8"/>
        <v>Fresh Water Tanks</v>
      </c>
      <c r="N163" s="107" t="s">
        <v>588</v>
      </c>
      <c r="O163" s="116" t="s">
        <v>632</v>
      </c>
      <c r="P163" s="113">
        <v>0</v>
      </c>
      <c r="Q163" s="117" t="str">
        <f ca="1">CalculateInvestment($N$65,N163,O163,$F163:$J163,P163,$N$23,E163)</f>
        <v>REQUIRED</v>
      </c>
      <c r="R163" s="107"/>
    </row>
    <row r="164" spans="3:18" x14ac:dyDescent="0.25">
      <c r="D164" s="55" t="s">
        <v>503</v>
      </c>
      <c r="E164" s="105"/>
      <c r="F164" s="101">
        <v>2500</v>
      </c>
      <c r="G164" s="102">
        <v>1250</v>
      </c>
      <c r="H164" s="103">
        <v>800</v>
      </c>
      <c r="J164" s="112" t="s">
        <v>75</v>
      </c>
      <c r="M164" s="120" t="str">
        <f t="shared" si="8"/>
        <v>Fresh Water System (Pump, Lines, Focets)</v>
      </c>
      <c r="N164" s="107" t="s">
        <v>588</v>
      </c>
      <c r="O164" s="116" t="s">
        <v>632</v>
      </c>
      <c r="P164" s="113">
        <v>0</v>
      </c>
      <c r="Q164" s="117" t="str">
        <f ca="1">CalculateInvestment($N$65,N164,O164,$F164:$J164,P164,$N$23,E164)</f>
        <v>REQUIRED</v>
      </c>
      <c r="R164" s="107"/>
    </row>
    <row r="165" spans="3:18" x14ac:dyDescent="0.25">
      <c r="D165" s="55" t="s">
        <v>723</v>
      </c>
      <c r="E165" s="105"/>
      <c r="F165" s="101">
        <v>2000</v>
      </c>
      <c r="G165" s="102">
        <v>1000</v>
      </c>
      <c r="H165" s="103">
        <v>700</v>
      </c>
      <c r="M165" s="120" t="str">
        <f t="shared" si="8"/>
        <v>Hot Water Calorifier</v>
      </c>
      <c r="N165" s="107" t="s">
        <v>588</v>
      </c>
      <c r="O165" s="116" t="s">
        <v>632</v>
      </c>
      <c r="P165" s="113">
        <v>0</v>
      </c>
      <c r="Q165" s="117">
        <f ca="1">CalculateInvestment($N$65,N165,O165,$F165:$J165,P165,$N$23,E165)</f>
        <v>0</v>
      </c>
      <c r="R165" s="107"/>
    </row>
    <row r="166" spans="3:18" x14ac:dyDescent="0.25">
      <c r="C166" t="s">
        <v>32</v>
      </c>
    </row>
    <row r="167" spans="3:18" x14ac:dyDescent="0.25">
      <c r="D167" s="55" t="s">
        <v>724</v>
      </c>
      <c r="E167" s="105"/>
      <c r="F167" s="101">
        <v>1500</v>
      </c>
      <c r="G167" s="102">
        <v>1200</v>
      </c>
      <c r="H167" s="103">
        <v>800</v>
      </c>
      <c r="J167" s="112" t="s">
        <v>75</v>
      </c>
      <c r="M167" s="120" t="str">
        <f t="shared" si="8"/>
        <v>Instruments: Depth, Speed</v>
      </c>
      <c r="N167" s="107" t="s">
        <v>588</v>
      </c>
      <c r="O167" s="116" t="s">
        <v>632</v>
      </c>
      <c r="P167" s="113">
        <v>0</v>
      </c>
      <c r="Q167" s="117" t="str">
        <f t="shared" ref="Q167:Q173" ca="1" si="9">CalculateInvestment($N$65,N167,O167,$F167:$J167,P167,$N$23,E167)</f>
        <v>REQUIRED</v>
      </c>
      <c r="R167" s="107"/>
    </row>
    <row r="168" spans="3:18" x14ac:dyDescent="0.25">
      <c r="D168" s="55" t="s">
        <v>725</v>
      </c>
      <c r="E168" s="105"/>
      <c r="F168" s="101">
        <v>2000</v>
      </c>
      <c r="G168" s="102">
        <v>1200</v>
      </c>
      <c r="H168" s="103">
        <v>700</v>
      </c>
      <c r="J168" s="112" t="s">
        <v>75</v>
      </c>
      <c r="M168" s="120" t="str">
        <f t="shared" si="8"/>
        <v>Wind Instrument</v>
      </c>
      <c r="N168" s="107" t="s">
        <v>588</v>
      </c>
      <c r="O168" s="116" t="s">
        <v>632</v>
      </c>
      <c r="P168" s="113">
        <v>0</v>
      </c>
      <c r="Q168" s="117" t="str">
        <f t="shared" ca="1" si="9"/>
        <v>REQUIRED</v>
      </c>
      <c r="R168" s="107"/>
    </row>
    <row r="169" spans="3:18" x14ac:dyDescent="0.25">
      <c r="D169" s="55" t="s">
        <v>545</v>
      </c>
      <c r="E169" s="105"/>
      <c r="F169" s="101">
        <v>6000</v>
      </c>
      <c r="G169" s="102">
        <v>4000</v>
      </c>
      <c r="H169" s="103">
        <v>2500</v>
      </c>
      <c r="J169" s="112" t="s">
        <v>75</v>
      </c>
      <c r="M169" s="120" t="str">
        <f t="shared" si="8"/>
        <v>Autopilot</v>
      </c>
      <c r="N169" s="107" t="s">
        <v>588</v>
      </c>
      <c r="O169" s="116" t="s">
        <v>632</v>
      </c>
      <c r="P169" s="113">
        <v>0</v>
      </c>
      <c r="Q169" s="117" t="str">
        <f t="shared" ca="1" si="9"/>
        <v>REQUIRED</v>
      </c>
      <c r="R169" s="107"/>
    </row>
    <row r="170" spans="3:18" x14ac:dyDescent="0.25">
      <c r="D170" s="55" t="s">
        <v>546</v>
      </c>
      <c r="E170" s="105"/>
      <c r="F170" s="101">
        <v>2500</v>
      </c>
      <c r="G170" s="102">
        <v>1500</v>
      </c>
      <c r="H170" s="103">
        <v>1200</v>
      </c>
      <c r="J170" s="112" t="s">
        <v>75</v>
      </c>
      <c r="M170" s="120" t="str">
        <f t="shared" si="8"/>
        <v>Chartplotter</v>
      </c>
      <c r="N170" s="107" t="s">
        <v>588</v>
      </c>
      <c r="O170" s="116" t="s">
        <v>632</v>
      </c>
      <c r="P170" s="113">
        <v>0</v>
      </c>
      <c r="Q170" s="117" t="str">
        <f t="shared" ca="1" si="9"/>
        <v>REQUIRED</v>
      </c>
      <c r="R170" s="107"/>
    </row>
    <row r="171" spans="3:18" x14ac:dyDescent="0.25">
      <c r="D171" s="55" t="s">
        <v>547</v>
      </c>
      <c r="E171" s="105"/>
      <c r="F171" s="101">
        <v>800</v>
      </c>
      <c r="G171" s="102">
        <v>600</v>
      </c>
      <c r="H171" s="103">
        <v>400</v>
      </c>
      <c r="J171" s="112" t="s">
        <v>75</v>
      </c>
      <c r="M171" s="120" t="str">
        <f t="shared" si="8"/>
        <v>VHF</v>
      </c>
      <c r="N171" s="107" t="s">
        <v>588</v>
      </c>
      <c r="O171" s="116" t="s">
        <v>632</v>
      </c>
      <c r="P171" s="113">
        <v>0</v>
      </c>
      <c r="Q171" s="117" t="str">
        <f t="shared" ca="1" si="9"/>
        <v>REQUIRED</v>
      </c>
      <c r="R171" s="107"/>
    </row>
    <row r="172" spans="3:18" x14ac:dyDescent="0.25">
      <c r="D172" s="55" t="s">
        <v>548</v>
      </c>
      <c r="E172" s="105"/>
      <c r="F172" s="101">
        <v>4500</v>
      </c>
      <c r="G172" s="102">
        <v>3000</v>
      </c>
      <c r="H172" s="103">
        <v>2500</v>
      </c>
      <c r="M172" s="120" t="str">
        <f t="shared" si="8"/>
        <v>Radar</v>
      </c>
      <c r="N172" s="107" t="s">
        <v>588</v>
      </c>
      <c r="O172" s="116" t="s">
        <v>632</v>
      </c>
      <c r="P172" s="113">
        <v>0</v>
      </c>
      <c r="Q172" s="117">
        <f t="shared" ca="1" si="9"/>
        <v>0</v>
      </c>
      <c r="R172" s="107"/>
    </row>
    <row r="173" spans="3:18" x14ac:dyDescent="0.25">
      <c r="D173" s="55" t="s">
        <v>549</v>
      </c>
      <c r="E173" s="105"/>
      <c r="F173" s="101">
        <v>1000</v>
      </c>
      <c r="G173" s="102">
        <v>800</v>
      </c>
      <c r="H173" s="103">
        <v>400</v>
      </c>
      <c r="J173" s="112" t="s">
        <v>75</v>
      </c>
      <c r="M173" s="120" t="str">
        <f t="shared" si="8"/>
        <v>AIS</v>
      </c>
      <c r="N173" s="107" t="s">
        <v>588</v>
      </c>
      <c r="O173" s="116" t="s">
        <v>632</v>
      </c>
      <c r="P173" s="113">
        <v>0</v>
      </c>
      <c r="Q173" s="117" t="str">
        <f t="shared" ca="1" si="9"/>
        <v>REQUIRED</v>
      </c>
      <c r="R173" s="107"/>
    </row>
    <row r="174" spans="3:18" x14ac:dyDescent="0.25">
      <c r="C174" t="s">
        <v>553</v>
      </c>
    </row>
    <row r="175" spans="3:18" x14ac:dyDescent="0.25">
      <c r="D175" s="55" t="s">
        <v>551</v>
      </c>
      <c r="E175" s="105"/>
      <c r="F175" s="101">
        <v>7000</v>
      </c>
      <c r="G175" s="102">
        <v>3000</v>
      </c>
      <c r="H175" s="103">
        <v>2000</v>
      </c>
      <c r="M175" s="120" t="str">
        <f t="shared" si="8"/>
        <v>Airconditioning</v>
      </c>
      <c r="N175" s="107" t="s">
        <v>588</v>
      </c>
      <c r="O175" s="116" t="s">
        <v>632</v>
      </c>
      <c r="P175" s="113">
        <v>0</v>
      </c>
      <c r="Q175" s="117">
        <f ca="1">CalculateInvestment($N$65,N175,O175,$F175:$J175,P175,$N$23,E175)</f>
        <v>0</v>
      </c>
      <c r="R175" s="107"/>
    </row>
    <row r="176" spans="3:18" x14ac:dyDescent="0.25">
      <c r="D176" s="55" t="s">
        <v>552</v>
      </c>
      <c r="E176" s="105"/>
      <c r="F176" s="101">
        <v>3000</v>
      </c>
      <c r="G176" s="102">
        <v>2000</v>
      </c>
      <c r="H176" s="103">
        <v>1200</v>
      </c>
      <c r="M176" s="120" t="str">
        <f t="shared" si="8"/>
        <v>Heater</v>
      </c>
      <c r="N176" s="107" t="s">
        <v>588</v>
      </c>
      <c r="O176" s="116" t="s">
        <v>632</v>
      </c>
      <c r="P176" s="113">
        <v>0</v>
      </c>
      <c r="Q176" s="117">
        <f ca="1">CalculateInvestment($N$65,N176,O176,$F176:$J176,P176,$N$23,E176)</f>
        <v>0</v>
      </c>
      <c r="R176" s="107"/>
    </row>
    <row r="177" spans="2:18" x14ac:dyDescent="0.25">
      <c r="D177" s="55" t="s">
        <v>554</v>
      </c>
      <c r="E177" s="105"/>
      <c r="F177" s="101">
        <v>1200</v>
      </c>
      <c r="G177" s="102">
        <v>1000</v>
      </c>
      <c r="H177" s="103">
        <v>500</v>
      </c>
      <c r="J177" s="112" t="s">
        <v>75</v>
      </c>
      <c r="M177" s="120" t="str">
        <f t="shared" si="8"/>
        <v>Ventilation</v>
      </c>
      <c r="N177" s="107" t="s">
        <v>588</v>
      </c>
      <c r="O177" s="116" t="s">
        <v>632</v>
      </c>
      <c r="P177" s="113">
        <v>0</v>
      </c>
      <c r="Q177" s="117" t="str">
        <f ca="1">CalculateInvestment($N$65,N177,O177,$F177:$J177,P177,$N$23,E177)</f>
        <v>REQUIRED</v>
      </c>
      <c r="R177" s="107"/>
    </row>
    <row r="178" spans="2:18" x14ac:dyDescent="0.25">
      <c r="D178" s="55" t="s">
        <v>42</v>
      </c>
      <c r="E178" s="105"/>
      <c r="F178" s="101">
        <v>400</v>
      </c>
      <c r="G178" s="102">
        <v>250</v>
      </c>
      <c r="H178" s="103">
        <v>150</v>
      </c>
      <c r="J178" s="112" t="s">
        <v>75</v>
      </c>
      <c r="M178" s="120" t="str">
        <f t="shared" si="8"/>
        <v>Fans</v>
      </c>
      <c r="N178" s="107" t="s">
        <v>588</v>
      </c>
      <c r="O178" s="116" t="s">
        <v>632</v>
      </c>
      <c r="P178" s="113">
        <v>0</v>
      </c>
      <c r="Q178" s="117" t="str">
        <f ca="1">CalculateInvestment($N$65,N178,O178,$F178:$J178,P178,$N$23,E178)</f>
        <v>REQUIRED</v>
      </c>
      <c r="R178" s="107"/>
    </row>
    <row r="180" spans="2:18" x14ac:dyDescent="0.25">
      <c r="B180" t="s">
        <v>536</v>
      </c>
    </row>
    <row r="181" spans="2:18" x14ac:dyDescent="0.25">
      <c r="C181" t="s">
        <v>543</v>
      </c>
    </row>
    <row r="182" spans="2:18" x14ac:dyDescent="0.25">
      <c r="D182" s="55" t="s">
        <v>537</v>
      </c>
      <c r="E182" s="143" t="s">
        <v>674</v>
      </c>
      <c r="F182" s="101">
        <v>0</v>
      </c>
      <c r="G182" s="102">
        <v>0</v>
      </c>
      <c r="H182" s="103">
        <v>0</v>
      </c>
      <c r="J182" s="112" t="s">
        <v>75</v>
      </c>
      <c r="M182" s="120" t="str">
        <f t="shared" si="8"/>
        <v>Joinery</v>
      </c>
      <c r="N182" s="107" t="s">
        <v>588</v>
      </c>
      <c r="O182" s="116" t="s">
        <v>632</v>
      </c>
      <c r="P182" s="113">
        <v>0</v>
      </c>
      <c r="Q182" s="117" t="str">
        <f ca="1">CalculateInvestment($N$65,N182,O182,$F182:$J182,P182,$N$23,E182)</f>
        <v>REQUIRED</v>
      </c>
      <c r="R182" s="107"/>
    </row>
    <row r="183" spans="2:18" x14ac:dyDescent="0.25">
      <c r="D183" s="55" t="s">
        <v>541</v>
      </c>
      <c r="E183" s="143" t="s">
        <v>674</v>
      </c>
      <c r="F183" s="101">
        <v>5000</v>
      </c>
      <c r="G183" s="102">
        <v>3000</v>
      </c>
      <c r="H183" s="103">
        <v>1500</v>
      </c>
      <c r="J183" s="112" t="s">
        <v>75</v>
      </c>
      <c r="M183" s="120" t="str">
        <f t="shared" si="8"/>
        <v>Floorboards</v>
      </c>
      <c r="N183" s="107" t="s">
        <v>588</v>
      </c>
      <c r="O183" s="116" t="s">
        <v>632</v>
      </c>
      <c r="P183" s="113">
        <v>0</v>
      </c>
      <c r="Q183" s="117" t="str">
        <f ca="1">CalculateInvestment($N$65,N183,O183,$F183:$J183,P183,$N$23,E183)</f>
        <v>REQUIRED</v>
      </c>
      <c r="R183" s="107"/>
    </row>
    <row r="184" spans="2:18" x14ac:dyDescent="0.25">
      <c r="D184" s="55" t="s">
        <v>542</v>
      </c>
      <c r="E184" s="143" t="s">
        <v>674</v>
      </c>
      <c r="F184" s="101">
        <v>2000</v>
      </c>
      <c r="G184" s="102">
        <v>1200</v>
      </c>
      <c r="H184" s="103">
        <v>700</v>
      </c>
      <c r="J184" s="112" t="s">
        <v>75</v>
      </c>
      <c r="M184" s="120" t="str">
        <f t="shared" si="8"/>
        <v>Ceiling/Liners</v>
      </c>
      <c r="N184" s="107" t="s">
        <v>588</v>
      </c>
      <c r="O184" s="116" t="s">
        <v>632</v>
      </c>
      <c r="P184" s="113">
        <v>0</v>
      </c>
      <c r="Q184" s="117" t="str">
        <f ca="1">CalculateInvestment($N$65,N184,O184,$F184:$J184,P184,$N$23,E184)</f>
        <v>REQUIRED</v>
      </c>
      <c r="R184" s="107"/>
    </row>
    <row r="185" spans="2:18" x14ac:dyDescent="0.25">
      <c r="C185" t="s">
        <v>535</v>
      </c>
    </row>
    <row r="186" spans="2:18" x14ac:dyDescent="0.25">
      <c r="D186" s="55" t="s">
        <v>544</v>
      </c>
      <c r="E186" s="105"/>
      <c r="F186" s="101">
        <v>3000</v>
      </c>
      <c r="G186" s="102">
        <v>1250</v>
      </c>
      <c r="H186" s="103">
        <v>800</v>
      </c>
      <c r="J186" s="112" t="s">
        <v>75</v>
      </c>
      <c r="M186" s="120" t="str">
        <f t="shared" si="8"/>
        <v>Upholstery</v>
      </c>
      <c r="N186" s="107" t="s">
        <v>588</v>
      </c>
      <c r="O186" s="116" t="s">
        <v>632</v>
      </c>
      <c r="P186" s="113">
        <v>0</v>
      </c>
      <c r="Q186" s="117" t="str">
        <f ca="1">CalculateInvestment($N$65,N186,O186,$F186:$J186,P186,$N$23,E186)</f>
        <v>REQUIRED</v>
      </c>
      <c r="R186" s="107"/>
    </row>
    <row r="187" spans="2:18" x14ac:dyDescent="0.25">
      <c r="C187" t="s">
        <v>33</v>
      </c>
    </row>
    <row r="188" spans="2:18" x14ac:dyDescent="0.25">
      <c r="D188" s="55" t="s">
        <v>516</v>
      </c>
      <c r="E188" s="105"/>
      <c r="F188" s="101">
        <v>3000</v>
      </c>
      <c r="G188" s="102">
        <v>2000</v>
      </c>
      <c r="H188" s="103">
        <v>1500</v>
      </c>
      <c r="J188" s="112" t="s">
        <v>75</v>
      </c>
      <c r="M188" s="120" t="str">
        <f t="shared" si="8"/>
        <v>Propane System</v>
      </c>
      <c r="N188" s="107" t="s">
        <v>588</v>
      </c>
      <c r="O188" s="116" t="s">
        <v>632</v>
      </c>
      <c r="P188" s="113">
        <v>0</v>
      </c>
      <c r="Q188" s="117" t="str">
        <f t="shared" ref="Q188:Q194" ca="1" si="10">CalculateInvestment($N$65,N188,O188,$F188:$J188,P188,$N$23,E188)</f>
        <v>REQUIRED</v>
      </c>
      <c r="R188" s="107"/>
    </row>
    <row r="189" spans="2:18" x14ac:dyDescent="0.25">
      <c r="D189" s="55" t="s">
        <v>517</v>
      </c>
      <c r="E189" s="105"/>
      <c r="F189" s="101">
        <v>2200</v>
      </c>
      <c r="G189" s="102">
        <v>1500</v>
      </c>
      <c r="H189" s="103">
        <v>1200</v>
      </c>
      <c r="J189" s="112" t="s">
        <v>75</v>
      </c>
      <c r="M189" s="120" t="str">
        <f t="shared" si="8"/>
        <v>Stove/Oven</v>
      </c>
      <c r="N189" s="107" t="s">
        <v>588</v>
      </c>
      <c r="O189" s="116" t="s">
        <v>632</v>
      </c>
      <c r="P189" s="113">
        <v>0</v>
      </c>
      <c r="Q189" s="117" t="str">
        <f t="shared" ca="1" si="10"/>
        <v>REQUIRED</v>
      </c>
      <c r="R189" s="107"/>
    </row>
    <row r="190" spans="2:18" x14ac:dyDescent="0.25">
      <c r="D190" s="55" t="s">
        <v>35</v>
      </c>
      <c r="E190" s="105"/>
      <c r="F190" s="101">
        <v>4000</v>
      </c>
      <c r="G190" s="102">
        <v>2500</v>
      </c>
      <c r="H190" s="103">
        <v>1500</v>
      </c>
      <c r="J190" s="112" t="s">
        <v>75</v>
      </c>
      <c r="M190" s="120" t="str">
        <f t="shared" si="8"/>
        <v>Fridge</v>
      </c>
      <c r="N190" s="107" t="s">
        <v>588</v>
      </c>
      <c r="O190" s="116" t="s">
        <v>632</v>
      </c>
      <c r="P190" s="113">
        <v>0</v>
      </c>
      <c r="Q190" s="117" t="str">
        <f t="shared" ca="1" si="10"/>
        <v>REQUIRED</v>
      </c>
      <c r="R190" s="107"/>
    </row>
    <row r="191" spans="2:18" x14ac:dyDescent="0.25">
      <c r="D191" s="55" t="s">
        <v>36</v>
      </c>
      <c r="E191" s="105"/>
      <c r="F191" s="101">
        <v>3000</v>
      </c>
      <c r="G191" s="102">
        <v>2000</v>
      </c>
      <c r="H191" s="103">
        <v>1500</v>
      </c>
      <c r="M191" s="120" t="str">
        <f t="shared" si="8"/>
        <v>Freezer</v>
      </c>
      <c r="N191" s="107" t="s">
        <v>588</v>
      </c>
      <c r="O191" s="116" t="s">
        <v>632</v>
      </c>
      <c r="P191" s="113">
        <v>0</v>
      </c>
      <c r="Q191" s="117">
        <f t="shared" ca="1" si="10"/>
        <v>0</v>
      </c>
      <c r="R191" s="107"/>
    </row>
    <row r="192" spans="2:18" x14ac:dyDescent="0.25">
      <c r="D192" s="55" t="s">
        <v>519</v>
      </c>
      <c r="E192" s="105"/>
      <c r="F192" s="101">
        <v>600</v>
      </c>
      <c r="G192" s="102">
        <v>300</v>
      </c>
      <c r="H192" s="103">
        <v>200</v>
      </c>
      <c r="J192" s="112" t="s">
        <v>75</v>
      </c>
      <c r="M192" s="120" t="str">
        <f t="shared" si="8"/>
        <v>Sink</v>
      </c>
      <c r="N192" s="107" t="s">
        <v>588</v>
      </c>
      <c r="O192" s="116" t="s">
        <v>632</v>
      </c>
      <c r="P192" s="113">
        <v>0</v>
      </c>
      <c r="Q192" s="117" t="str">
        <f t="shared" ca="1" si="10"/>
        <v>REQUIRED</v>
      </c>
      <c r="R192" s="107"/>
    </row>
    <row r="193" spans="2:18" x14ac:dyDescent="0.25">
      <c r="D193" s="55" t="s">
        <v>518</v>
      </c>
      <c r="E193" s="105"/>
      <c r="F193" s="101">
        <v>0</v>
      </c>
      <c r="G193" s="102">
        <v>0</v>
      </c>
      <c r="H193" s="103">
        <v>0</v>
      </c>
      <c r="J193" s="112" t="s">
        <v>75</v>
      </c>
      <c r="M193" s="120" t="str">
        <f t="shared" si="8"/>
        <v>Galley Equipment</v>
      </c>
      <c r="N193" s="107" t="s">
        <v>588</v>
      </c>
      <c r="O193" s="116" t="s">
        <v>632</v>
      </c>
      <c r="P193" s="113">
        <v>0</v>
      </c>
      <c r="Q193" s="117" t="str">
        <f t="shared" ca="1" si="10"/>
        <v>REQUIRED</v>
      </c>
      <c r="R193" s="107"/>
    </row>
    <row r="194" spans="2:18" x14ac:dyDescent="0.25">
      <c r="D194" s="55" t="s">
        <v>51</v>
      </c>
      <c r="E194" s="105"/>
      <c r="F194" s="101">
        <v>700</v>
      </c>
      <c r="G194" s="102">
        <v>500</v>
      </c>
      <c r="H194" s="103">
        <v>400</v>
      </c>
      <c r="M194" s="120" t="str">
        <f t="shared" si="8"/>
        <v>Microwave</v>
      </c>
      <c r="N194" s="107" t="s">
        <v>588</v>
      </c>
      <c r="O194" s="116" t="s">
        <v>632</v>
      </c>
      <c r="P194" s="113">
        <v>0</v>
      </c>
      <c r="Q194" s="117">
        <f t="shared" ca="1" si="10"/>
        <v>0</v>
      </c>
      <c r="R194" s="107"/>
    </row>
    <row r="195" spans="2:18" x14ac:dyDescent="0.25">
      <c r="C195" t="s">
        <v>550</v>
      </c>
    </row>
    <row r="196" spans="2:18" x14ac:dyDescent="0.25">
      <c r="D196" s="55" t="s">
        <v>730</v>
      </c>
      <c r="E196" s="105"/>
      <c r="F196" s="101">
        <v>2000</v>
      </c>
      <c r="G196" s="102">
        <v>1500</v>
      </c>
      <c r="H196" s="103">
        <v>1000</v>
      </c>
      <c r="J196" s="112" t="s">
        <v>75</v>
      </c>
      <c r="M196" s="120" t="str">
        <f t="shared" si="8"/>
        <v>Head</v>
      </c>
      <c r="N196" s="107" t="s">
        <v>588</v>
      </c>
      <c r="O196" s="116" t="s">
        <v>632</v>
      </c>
      <c r="P196" s="113">
        <v>0</v>
      </c>
      <c r="Q196" s="117" t="str">
        <f ca="1">CalculateInvestment($N$65,N196,O196,$F196:$J196,P196,$N$23,E196)</f>
        <v>REQUIRED</v>
      </c>
      <c r="R196" s="107"/>
    </row>
    <row r="197" spans="2:18" x14ac:dyDescent="0.25">
      <c r="D197" s="55" t="s">
        <v>729</v>
      </c>
      <c r="E197" s="105"/>
      <c r="F197" s="101">
        <v>4000</v>
      </c>
      <c r="G197" s="102">
        <v>3000</v>
      </c>
      <c r="H197" s="103">
        <v>2000</v>
      </c>
      <c r="M197" s="120" t="str">
        <f t="shared" si="8"/>
        <v>Holding Tank</v>
      </c>
      <c r="N197" s="107" t="s">
        <v>588</v>
      </c>
      <c r="O197" s="116" t="s">
        <v>632</v>
      </c>
      <c r="P197" s="113">
        <v>0</v>
      </c>
      <c r="Q197" s="117">
        <f ca="1">CalculateInvestment($N$65,N197,O197,$F197:$J197,P197,$N$23,E197)</f>
        <v>0</v>
      </c>
      <c r="R197" s="107"/>
    </row>
    <row r="198" spans="2:18" x14ac:dyDescent="0.25">
      <c r="D198" s="55" t="s">
        <v>731</v>
      </c>
      <c r="E198" s="105"/>
      <c r="F198" s="101">
        <v>2500</v>
      </c>
      <c r="G198" s="102">
        <v>1500</v>
      </c>
      <c r="H198" s="103">
        <v>1000</v>
      </c>
      <c r="J198" s="112" t="s">
        <v>75</v>
      </c>
      <c r="M198" s="120" t="str">
        <f t="shared" si="8"/>
        <v>Shower</v>
      </c>
      <c r="N198" s="107" t="s">
        <v>588</v>
      </c>
      <c r="O198" s="116" t="s">
        <v>632</v>
      </c>
      <c r="P198" s="113">
        <v>0</v>
      </c>
      <c r="Q198" s="117" t="str">
        <f ca="1">CalculateInvestment($N$65,N198,O198,$F198:$J198,P198,$N$23,E198)</f>
        <v>REQUIRED</v>
      </c>
      <c r="R198" s="107"/>
    </row>
    <row r="199" spans="2:18" x14ac:dyDescent="0.25">
      <c r="D199" s="55" t="s">
        <v>519</v>
      </c>
      <c r="E199" s="105"/>
      <c r="F199" s="101">
        <v>1200</v>
      </c>
      <c r="G199" s="102">
        <v>700</v>
      </c>
      <c r="H199" s="103">
        <v>400</v>
      </c>
      <c r="J199" s="112" t="s">
        <v>75</v>
      </c>
      <c r="M199" s="120" t="str">
        <f t="shared" si="8"/>
        <v>Sink</v>
      </c>
      <c r="N199" s="107" t="s">
        <v>588</v>
      </c>
      <c r="O199" s="116" t="s">
        <v>632</v>
      </c>
      <c r="P199" s="113">
        <v>0</v>
      </c>
      <c r="Q199" s="117" t="str">
        <f ca="1">CalculateInvestment($N$65,N199,O199,$F199:$J199,P199,$N$23,E199)</f>
        <v>REQUIRED</v>
      </c>
      <c r="R199" s="107"/>
    </row>
    <row r="201" spans="2:18" x14ac:dyDescent="0.25">
      <c r="B201" t="s">
        <v>555</v>
      </c>
    </row>
    <row r="202" spans="2:18" x14ac:dyDescent="0.25">
      <c r="D202" s="55" t="s">
        <v>556</v>
      </c>
      <c r="E202" s="105"/>
      <c r="F202" s="101">
        <v>1000</v>
      </c>
      <c r="G202" s="102">
        <v>600</v>
      </c>
      <c r="H202" s="103">
        <v>400</v>
      </c>
      <c r="J202" s="112" t="s">
        <v>75</v>
      </c>
      <c r="M202" s="120" t="str">
        <f t="shared" si="8"/>
        <v>Fire Extinguishers</v>
      </c>
      <c r="N202" s="107" t="s">
        <v>588</v>
      </c>
      <c r="O202" s="116" t="s">
        <v>632</v>
      </c>
      <c r="P202" s="113">
        <v>0</v>
      </c>
      <c r="Q202" s="117" t="str">
        <f t="shared" ref="Q202:Q213" ca="1" si="11">CalculateInvestment($N$65,N202,O202,$F202:$J202,P202,$N$23,E202)</f>
        <v>REQUIRED</v>
      </c>
      <c r="R202" s="107"/>
    </row>
    <row r="203" spans="2:18" x14ac:dyDescent="0.25">
      <c r="D203" s="55" t="s">
        <v>557</v>
      </c>
      <c r="E203" s="105"/>
      <c r="F203" s="101">
        <v>5000</v>
      </c>
      <c r="G203" s="102">
        <v>4000</v>
      </c>
      <c r="H203" s="103">
        <v>2500</v>
      </c>
      <c r="J203" s="112" t="s">
        <v>75</v>
      </c>
      <c r="M203" s="120" t="str">
        <f t="shared" si="8"/>
        <v>Liferaft</v>
      </c>
      <c r="N203" s="107" t="s">
        <v>588</v>
      </c>
      <c r="O203" s="116" t="s">
        <v>632</v>
      </c>
      <c r="P203" s="113">
        <v>0</v>
      </c>
      <c r="Q203" s="117" t="str">
        <f t="shared" ca="1" si="11"/>
        <v>REQUIRED</v>
      </c>
      <c r="R203" s="107"/>
    </row>
    <row r="204" spans="2:18" x14ac:dyDescent="0.25">
      <c r="D204" s="55" t="s">
        <v>558</v>
      </c>
      <c r="E204" s="105"/>
      <c r="F204" s="101">
        <v>400</v>
      </c>
      <c r="G204" s="102">
        <v>300</v>
      </c>
      <c r="H204" s="103">
        <v>200</v>
      </c>
      <c r="J204" s="112" t="s">
        <v>75</v>
      </c>
      <c r="M204" s="120" t="str">
        <f t="shared" si="8"/>
        <v>Flares</v>
      </c>
      <c r="N204" s="107" t="s">
        <v>588</v>
      </c>
      <c r="O204" s="116" t="s">
        <v>632</v>
      </c>
      <c r="P204" s="113">
        <v>0</v>
      </c>
      <c r="Q204" s="117" t="str">
        <f t="shared" ca="1" si="11"/>
        <v>REQUIRED</v>
      </c>
      <c r="R204" s="107"/>
    </row>
    <row r="205" spans="2:18" x14ac:dyDescent="0.25">
      <c r="D205" s="55" t="s">
        <v>559</v>
      </c>
      <c r="E205" s="105"/>
      <c r="F205" s="101">
        <v>1200</v>
      </c>
      <c r="G205" s="102">
        <v>800</v>
      </c>
      <c r="H205" s="103">
        <v>600</v>
      </c>
      <c r="J205" s="112" t="s">
        <v>75</v>
      </c>
      <c r="M205" s="120" t="str">
        <f t="shared" si="8"/>
        <v>Bilge Pumps</v>
      </c>
      <c r="N205" s="107" t="s">
        <v>588</v>
      </c>
      <c r="O205" s="116" t="s">
        <v>632</v>
      </c>
      <c r="P205" s="113">
        <v>0</v>
      </c>
      <c r="Q205" s="117" t="str">
        <f t="shared" ca="1" si="11"/>
        <v>REQUIRED</v>
      </c>
      <c r="R205" s="107"/>
    </row>
    <row r="206" spans="2:18" x14ac:dyDescent="0.25">
      <c r="D206" s="55" t="s">
        <v>560</v>
      </c>
      <c r="E206" s="105"/>
      <c r="F206" s="101">
        <v>1000</v>
      </c>
      <c r="G206" s="102">
        <v>700</v>
      </c>
      <c r="H206" s="103">
        <v>500</v>
      </c>
      <c r="J206" s="112" t="s">
        <v>75</v>
      </c>
      <c r="M206" s="120" t="str">
        <f t="shared" si="8"/>
        <v>EPIRB</v>
      </c>
      <c r="N206" s="107" t="s">
        <v>588</v>
      </c>
      <c r="O206" s="116" t="s">
        <v>632</v>
      </c>
      <c r="P206" s="113">
        <v>0</v>
      </c>
      <c r="Q206" s="117" t="str">
        <f t="shared" ca="1" si="11"/>
        <v>REQUIRED</v>
      </c>
      <c r="R206" s="107"/>
    </row>
    <row r="207" spans="2:18" x14ac:dyDescent="0.25">
      <c r="D207" s="55" t="s">
        <v>561</v>
      </c>
      <c r="E207" s="105"/>
      <c r="F207" s="101">
        <v>200</v>
      </c>
      <c r="G207" s="102">
        <v>150</v>
      </c>
      <c r="H207" s="103">
        <v>100</v>
      </c>
      <c r="J207" s="112" t="s">
        <v>75</v>
      </c>
      <c r="M207" s="120" t="str">
        <f t="shared" si="8"/>
        <v>Jacklines</v>
      </c>
      <c r="N207" s="107" t="s">
        <v>588</v>
      </c>
      <c r="O207" s="116" t="s">
        <v>632</v>
      </c>
      <c r="P207" s="113">
        <v>0</v>
      </c>
      <c r="Q207" s="117" t="str">
        <f t="shared" ca="1" si="11"/>
        <v>REQUIRED</v>
      </c>
      <c r="R207" s="107"/>
    </row>
    <row r="208" spans="2:18" x14ac:dyDescent="0.25">
      <c r="D208" s="55" t="s">
        <v>596</v>
      </c>
      <c r="E208" s="105"/>
      <c r="F208" s="101">
        <v>500</v>
      </c>
      <c r="G208" s="102">
        <v>300</v>
      </c>
      <c r="H208" s="103">
        <v>200</v>
      </c>
      <c r="J208" s="112" t="s">
        <v>75</v>
      </c>
      <c r="M208" s="120" t="str">
        <f t="shared" si="8"/>
        <v>Medical Kit</v>
      </c>
      <c r="N208" s="107" t="s">
        <v>588</v>
      </c>
      <c r="O208" s="116" t="s">
        <v>632</v>
      </c>
      <c r="P208" s="113">
        <v>0</v>
      </c>
      <c r="Q208" s="117" t="str">
        <f t="shared" ca="1" si="11"/>
        <v>REQUIRED</v>
      </c>
      <c r="R208" s="107"/>
    </row>
    <row r="209" spans="2:18" x14ac:dyDescent="0.25">
      <c r="D209" s="55" t="s">
        <v>597</v>
      </c>
      <c r="E209" s="105"/>
      <c r="F209" s="101">
        <v>500</v>
      </c>
      <c r="G209" s="102">
        <v>300</v>
      </c>
      <c r="H209" s="103">
        <v>200</v>
      </c>
      <c r="J209" s="112" t="s">
        <v>75</v>
      </c>
      <c r="M209" s="120" t="str">
        <f t="shared" si="8"/>
        <v>Liferings, Buoys, Throwline</v>
      </c>
      <c r="N209" s="107" t="s">
        <v>588</v>
      </c>
      <c r="O209" s="116" t="s">
        <v>632</v>
      </c>
      <c r="P209" s="113">
        <v>0</v>
      </c>
      <c r="Q209" s="117" t="str">
        <f t="shared" ca="1" si="11"/>
        <v>REQUIRED</v>
      </c>
      <c r="R209" s="107"/>
    </row>
    <row r="210" spans="2:18" x14ac:dyDescent="0.25">
      <c r="D210" s="55" t="s">
        <v>598</v>
      </c>
      <c r="E210" s="105"/>
      <c r="F210" s="101">
        <v>300</v>
      </c>
      <c r="G210" s="102">
        <v>200</v>
      </c>
      <c r="H210" s="103">
        <v>150</v>
      </c>
      <c r="J210" s="112" t="s">
        <v>75</v>
      </c>
      <c r="M210" s="120" t="str">
        <f t="shared" si="8"/>
        <v>Lifewests</v>
      </c>
      <c r="N210" s="107" t="s">
        <v>588</v>
      </c>
      <c r="O210" s="116" t="s">
        <v>632</v>
      </c>
      <c r="P210" s="113">
        <v>0</v>
      </c>
      <c r="Q210" s="117" t="str">
        <f t="shared" ca="1" si="11"/>
        <v>REQUIRED</v>
      </c>
      <c r="R210" s="107"/>
    </row>
    <row r="211" spans="2:18" x14ac:dyDescent="0.25">
      <c r="D211" s="55" t="s">
        <v>599</v>
      </c>
      <c r="E211" s="105"/>
      <c r="F211" s="101">
        <v>250</v>
      </c>
      <c r="G211" s="102">
        <v>200</v>
      </c>
      <c r="H211" s="103">
        <v>150</v>
      </c>
      <c r="M211" s="120" t="str">
        <f t="shared" si="8"/>
        <v>Horn</v>
      </c>
      <c r="N211" s="107" t="s">
        <v>588</v>
      </c>
      <c r="O211" s="116" t="s">
        <v>632</v>
      </c>
      <c r="P211" s="113">
        <v>0</v>
      </c>
      <c r="Q211" s="117">
        <f t="shared" ca="1" si="11"/>
        <v>0</v>
      </c>
      <c r="R211" s="107"/>
    </row>
    <row r="212" spans="2:18" x14ac:dyDescent="0.25">
      <c r="D212" s="55" t="s">
        <v>600</v>
      </c>
      <c r="E212" s="105"/>
      <c r="F212" s="101">
        <v>1500</v>
      </c>
      <c r="G212" s="102">
        <v>1000</v>
      </c>
      <c r="H212" s="103">
        <v>800</v>
      </c>
      <c r="M212" s="120" t="str">
        <f t="shared" si="8"/>
        <v>Engine Fire Suppression System</v>
      </c>
      <c r="N212" s="107" t="s">
        <v>588</v>
      </c>
      <c r="O212" s="116" t="s">
        <v>632</v>
      </c>
      <c r="P212" s="113">
        <v>0</v>
      </c>
      <c r="Q212" s="117">
        <f t="shared" ca="1" si="11"/>
        <v>0</v>
      </c>
      <c r="R212" s="107"/>
    </row>
    <row r="213" spans="2:18" x14ac:dyDescent="0.25">
      <c r="D213" s="55" t="s">
        <v>601</v>
      </c>
      <c r="E213" s="105"/>
      <c r="F213" s="101">
        <v>400</v>
      </c>
      <c r="G213" s="102">
        <v>250</v>
      </c>
      <c r="H213" s="103">
        <v>200</v>
      </c>
      <c r="J213" s="112" t="s">
        <v>75</v>
      </c>
      <c r="M213" s="120" t="str">
        <f t="shared" si="8"/>
        <v>CO and Propane Alarms</v>
      </c>
      <c r="N213" s="107" t="s">
        <v>588</v>
      </c>
      <c r="O213" s="116" t="s">
        <v>632</v>
      </c>
      <c r="P213" s="113">
        <v>0</v>
      </c>
      <c r="Q213" s="117" t="str">
        <f t="shared" ca="1" si="11"/>
        <v>REQUIRED</v>
      </c>
      <c r="R213" s="107"/>
    </row>
    <row r="215" spans="2:18" x14ac:dyDescent="0.25">
      <c r="B215" t="s">
        <v>562</v>
      </c>
    </row>
    <row r="216" spans="2:18" x14ac:dyDescent="0.25">
      <c r="D216" s="55" t="s">
        <v>692</v>
      </c>
      <c r="E216" s="106"/>
      <c r="F216" s="101">
        <v>5700</v>
      </c>
      <c r="G216" s="102">
        <v>3600</v>
      </c>
      <c r="H216" s="103">
        <v>1900</v>
      </c>
      <c r="J216" s="112" t="s">
        <v>75</v>
      </c>
      <c r="M216" s="120" t="str">
        <f t="shared" si="8"/>
        <v>Dinghy →</v>
      </c>
      <c r="N216" s="107" t="s">
        <v>588</v>
      </c>
      <c r="O216" s="116" t="s">
        <v>632</v>
      </c>
      <c r="P216" s="113">
        <v>0</v>
      </c>
      <c r="Q216" s="117" t="str">
        <f ca="1">CalculateInvestment($N$65,N216,O216,$F216:$J216,P216,$N$23,E216)</f>
        <v>REQUIRED</v>
      </c>
      <c r="R216" s="107"/>
    </row>
    <row r="217" spans="2:18" x14ac:dyDescent="0.25">
      <c r="D217" s="55" t="s">
        <v>693</v>
      </c>
      <c r="E217" s="106"/>
      <c r="F217" s="101">
        <v>2300</v>
      </c>
      <c r="G217" s="102">
        <v>1500</v>
      </c>
      <c r="H217" s="103">
        <v>1300</v>
      </c>
      <c r="J217" s="112" t="s">
        <v>75</v>
      </c>
      <c r="M217" s="120" t="str">
        <f t="shared" si="8"/>
        <v>Outboard →</v>
      </c>
      <c r="N217" s="107" t="s">
        <v>588</v>
      </c>
      <c r="O217" s="116" t="s">
        <v>632</v>
      </c>
      <c r="P217" s="113">
        <v>0</v>
      </c>
      <c r="Q217" s="117" t="str">
        <f ca="1">CalculateInvestment($N$65,N217,O217,$F217:$J217,P217,$N$23,E217)</f>
        <v>REQUIRED</v>
      </c>
      <c r="R217" s="107"/>
    </row>
    <row r="218" spans="2:18" x14ac:dyDescent="0.25">
      <c r="D218" s="55" t="s">
        <v>743</v>
      </c>
      <c r="E218" s="105"/>
      <c r="F218" s="101">
        <v>1500</v>
      </c>
      <c r="G218" s="102">
        <v>800</v>
      </c>
      <c r="H218" s="103">
        <v>700</v>
      </c>
      <c r="M218" s="120" t="str">
        <f t="shared" si="8"/>
        <v>Kayak, Paddleboard, etc</v>
      </c>
      <c r="N218" s="107" t="s">
        <v>588</v>
      </c>
      <c r="O218" s="116" t="s">
        <v>632</v>
      </c>
      <c r="P218" s="113">
        <v>0</v>
      </c>
      <c r="Q218" s="117">
        <f ca="1">CalculateInvestment($N$65,N218,O218,$F218:$J218,P218,$N$23,E218)</f>
        <v>0</v>
      </c>
      <c r="R218" s="107"/>
    </row>
    <row r="220" spans="2:18" x14ac:dyDescent="0.25">
      <c r="B220" t="s">
        <v>565</v>
      </c>
    </row>
    <row r="221" spans="2:18" x14ac:dyDescent="0.25">
      <c r="C221" t="s">
        <v>328</v>
      </c>
    </row>
    <row r="222" spans="2:18" x14ac:dyDescent="0.25">
      <c r="D222" s="55" t="s">
        <v>694</v>
      </c>
      <c r="E222" s="106"/>
      <c r="F222" s="101">
        <v>2600</v>
      </c>
      <c r="G222" s="102">
        <v>1900</v>
      </c>
      <c r="H222" s="103">
        <v>1500</v>
      </c>
      <c r="J222" s="112" t="s">
        <v>75</v>
      </c>
      <c r="M222" s="120" t="str">
        <f t="shared" ref="M222:M253" si="12">$D222</f>
        <v>Power Tools →</v>
      </c>
      <c r="N222" s="107" t="s">
        <v>588</v>
      </c>
      <c r="O222" s="116" t="s">
        <v>632</v>
      </c>
      <c r="P222" s="113">
        <v>0</v>
      </c>
      <c r="Q222" s="117" t="str">
        <f ca="1">CalculateInvestment($N$65,N222,O222,$F222:$J222,P222,$N$23,E222)</f>
        <v>REQUIRED</v>
      </c>
      <c r="R222" s="107"/>
    </row>
    <row r="223" spans="2:18" x14ac:dyDescent="0.25">
      <c r="D223" s="55" t="s">
        <v>695</v>
      </c>
      <c r="E223" s="106"/>
      <c r="F223" s="101">
        <v>3300</v>
      </c>
      <c r="G223" s="102">
        <v>2000</v>
      </c>
      <c r="H223" s="103">
        <v>1800</v>
      </c>
      <c r="J223" s="112" t="s">
        <v>75</v>
      </c>
      <c r="M223" s="120" t="str">
        <f t="shared" si="12"/>
        <v>Mechanical Tools →</v>
      </c>
      <c r="N223" s="107" t="s">
        <v>588</v>
      </c>
      <c r="O223" s="116" t="s">
        <v>632</v>
      </c>
      <c r="P223" s="113">
        <v>0</v>
      </c>
      <c r="Q223" s="117" t="str">
        <f ca="1">CalculateInvestment($N$65,N223,O223,$F223:$J223,P223,$N$23,E223)</f>
        <v>REQUIRED</v>
      </c>
      <c r="R223" s="107"/>
    </row>
    <row r="224" spans="2:18" x14ac:dyDescent="0.25">
      <c r="D224" s="55" t="s">
        <v>696</v>
      </c>
      <c r="E224" s="106"/>
      <c r="F224" s="101">
        <v>1300</v>
      </c>
      <c r="G224" s="102">
        <v>1100</v>
      </c>
      <c r="H224" s="103">
        <v>400</v>
      </c>
      <c r="J224" s="112" t="s">
        <v>75</v>
      </c>
      <c r="M224" s="120" t="str">
        <f t="shared" si="12"/>
        <v>Sewing Kit →</v>
      </c>
      <c r="N224" s="107" t="s">
        <v>588</v>
      </c>
      <c r="O224" s="116" t="s">
        <v>632</v>
      </c>
      <c r="P224" s="113">
        <v>0</v>
      </c>
      <c r="Q224" s="117" t="str">
        <f ca="1">CalculateInvestment($N$65,N224,O224,$F224:$J224,P224,$N$23,E224)</f>
        <v>REQUIRED</v>
      </c>
      <c r="R224" s="107"/>
    </row>
    <row r="225" spans="2:18" x14ac:dyDescent="0.25">
      <c r="C225" t="s">
        <v>566</v>
      </c>
    </row>
    <row r="226" spans="2:18" x14ac:dyDescent="0.25">
      <c r="D226" s="55" t="s">
        <v>697</v>
      </c>
      <c r="E226" s="106"/>
      <c r="F226" s="101">
        <v>800</v>
      </c>
      <c r="G226" s="102">
        <v>600</v>
      </c>
      <c r="H226" s="103">
        <v>500</v>
      </c>
      <c r="J226" s="112" t="s">
        <v>75</v>
      </c>
      <c r="M226" s="120" t="str">
        <f t="shared" si="12"/>
        <v>General Mechanical Spares →</v>
      </c>
      <c r="N226" s="107" t="s">
        <v>588</v>
      </c>
      <c r="O226" s="116" t="s">
        <v>632</v>
      </c>
      <c r="P226" s="113">
        <v>0</v>
      </c>
      <c r="Q226" s="117" t="str">
        <f t="shared" ref="Q226:Q232" ca="1" si="13">CalculateInvestment($N$65,N226,O226,$F226:$J226,P226,$N$23,E226)</f>
        <v>REQUIRED</v>
      </c>
      <c r="R226" s="107"/>
    </row>
    <row r="227" spans="2:18" x14ac:dyDescent="0.25">
      <c r="D227" s="55" t="s">
        <v>698</v>
      </c>
      <c r="E227" s="106"/>
      <c r="F227" s="101">
        <v>500</v>
      </c>
      <c r="G227" s="102">
        <v>300</v>
      </c>
      <c r="H227" s="103">
        <v>300</v>
      </c>
      <c r="J227" s="112" t="s">
        <v>75</v>
      </c>
      <c r="M227" s="120" t="str">
        <f t="shared" si="12"/>
        <v>Electric Installation Spares →</v>
      </c>
      <c r="N227" s="107" t="s">
        <v>588</v>
      </c>
      <c r="O227" s="116" t="s">
        <v>632</v>
      </c>
      <c r="P227" s="113">
        <v>0</v>
      </c>
      <c r="Q227" s="117" t="str">
        <f t="shared" ca="1" si="13"/>
        <v>REQUIRED</v>
      </c>
      <c r="R227" s="107"/>
    </row>
    <row r="228" spans="2:18" x14ac:dyDescent="0.25">
      <c r="D228" s="55" t="s">
        <v>699</v>
      </c>
      <c r="E228" s="106"/>
      <c r="F228" s="101">
        <v>500</v>
      </c>
      <c r="G228" s="102">
        <v>300</v>
      </c>
      <c r="H228" s="103">
        <v>300</v>
      </c>
      <c r="J228" s="112" t="s">
        <v>75</v>
      </c>
      <c r="M228" s="120" t="str">
        <f t="shared" si="12"/>
        <v>Repair/Maintenance/Cleaning Spares →</v>
      </c>
      <c r="N228" s="107" t="s">
        <v>588</v>
      </c>
      <c r="O228" s="116" t="s">
        <v>632</v>
      </c>
      <c r="P228" s="113">
        <v>0</v>
      </c>
      <c r="Q228" s="117" t="str">
        <f t="shared" ca="1" si="13"/>
        <v>REQUIRED</v>
      </c>
      <c r="R228" s="107"/>
    </row>
    <row r="229" spans="2:18" x14ac:dyDescent="0.25">
      <c r="D229" s="55" t="s">
        <v>700</v>
      </c>
      <c r="E229" s="106"/>
      <c r="F229" s="101">
        <v>1800</v>
      </c>
      <c r="G229" s="102">
        <v>1400</v>
      </c>
      <c r="H229" s="103">
        <v>1300</v>
      </c>
      <c r="J229" s="112" t="s">
        <v>75</v>
      </c>
      <c r="M229" s="120" t="str">
        <f t="shared" si="12"/>
        <v>Rigging Spares →</v>
      </c>
      <c r="N229" s="107" t="s">
        <v>588</v>
      </c>
      <c r="O229" s="116" t="s">
        <v>632</v>
      </c>
      <c r="P229" s="113">
        <v>0</v>
      </c>
      <c r="Q229" s="117" t="str">
        <f t="shared" ca="1" si="13"/>
        <v>REQUIRED</v>
      </c>
      <c r="R229" s="107"/>
    </row>
    <row r="230" spans="2:18" x14ac:dyDescent="0.25">
      <c r="D230" s="55" t="s">
        <v>701</v>
      </c>
      <c r="E230" s="106"/>
      <c r="F230" s="101">
        <v>3300</v>
      </c>
      <c r="G230" s="102">
        <v>2800</v>
      </c>
      <c r="H230" s="103">
        <v>2700</v>
      </c>
      <c r="J230" s="112" t="s">
        <v>75</v>
      </c>
      <c r="M230" s="120" t="str">
        <f t="shared" si="12"/>
        <v>Engine And Drive Train Spares →</v>
      </c>
      <c r="N230" s="107" t="s">
        <v>588</v>
      </c>
      <c r="O230" s="116" t="s">
        <v>632</v>
      </c>
      <c r="P230" s="113">
        <v>0</v>
      </c>
      <c r="Q230" s="117" t="str">
        <f t="shared" ca="1" si="13"/>
        <v>REQUIRED</v>
      </c>
      <c r="R230" s="107"/>
    </row>
    <row r="231" spans="2:18" x14ac:dyDescent="0.25">
      <c r="D231" s="55" t="s">
        <v>702</v>
      </c>
      <c r="E231" s="106"/>
      <c r="F231" s="101">
        <v>500</v>
      </c>
      <c r="G231" s="102">
        <v>400</v>
      </c>
      <c r="H231" s="103">
        <v>300</v>
      </c>
      <c r="J231" s="112" t="s">
        <v>75</v>
      </c>
      <c r="M231" s="120" t="str">
        <f t="shared" si="12"/>
        <v>Outboard Spares →</v>
      </c>
      <c r="N231" s="107" t="s">
        <v>588</v>
      </c>
      <c r="O231" s="116" t="s">
        <v>632</v>
      </c>
      <c r="P231" s="113">
        <v>0</v>
      </c>
      <c r="Q231" s="117" t="str">
        <f t="shared" ca="1" si="13"/>
        <v>REQUIRED</v>
      </c>
      <c r="R231" s="107"/>
    </row>
    <row r="232" spans="2:18" x14ac:dyDescent="0.25">
      <c r="D232" s="55" t="s">
        <v>703</v>
      </c>
      <c r="E232" s="106"/>
      <c r="F232" s="101">
        <v>500</v>
      </c>
      <c r="G232" s="102">
        <v>400</v>
      </c>
      <c r="H232" s="103">
        <v>300</v>
      </c>
      <c r="M232" s="120" t="str">
        <f t="shared" si="12"/>
        <v>Generator Spares →</v>
      </c>
      <c r="N232" s="107" t="s">
        <v>588</v>
      </c>
      <c r="O232" s="116" t="s">
        <v>632</v>
      </c>
      <c r="P232" s="113">
        <v>0</v>
      </c>
      <c r="Q232" s="117">
        <f t="shared" ca="1" si="13"/>
        <v>0</v>
      </c>
      <c r="R232" s="107"/>
    </row>
    <row r="233" spans="2:18" x14ac:dyDescent="0.25">
      <c r="C233" t="s">
        <v>149</v>
      </c>
    </row>
    <row r="234" spans="2:18" x14ac:dyDescent="0.25">
      <c r="D234" s="55" t="s">
        <v>704</v>
      </c>
      <c r="E234" s="106"/>
      <c r="F234" s="101">
        <v>700</v>
      </c>
      <c r="G234" s="102">
        <v>500</v>
      </c>
      <c r="H234" s="103">
        <v>400</v>
      </c>
      <c r="J234" s="112" t="s">
        <v>75</v>
      </c>
      <c r="M234" s="120" t="str">
        <f t="shared" si="12"/>
        <v>Consumables →</v>
      </c>
      <c r="N234" s="107" t="s">
        <v>588</v>
      </c>
      <c r="O234" s="116" t="s">
        <v>632</v>
      </c>
      <c r="P234" s="113">
        <v>0</v>
      </c>
      <c r="Q234" s="117" t="str">
        <f ca="1">CalculateInvestment($N$65,N234,O234,$F234:$J234,P234,$N$23,E234)</f>
        <v>REQUIRED</v>
      </c>
      <c r="R234" s="107"/>
    </row>
    <row r="236" spans="2:18" ht="15.75" thickBot="1" x14ac:dyDescent="0.3">
      <c r="F236" s="136">
        <f>SUM(F89:F235)</f>
        <v>271695</v>
      </c>
      <c r="G236" s="136">
        <f>SUM(G89:G235)</f>
        <v>180015</v>
      </c>
      <c r="H236" s="136">
        <f>SUM(H89:H235)</f>
        <v>126650</v>
      </c>
      <c r="M236" t="s">
        <v>673</v>
      </c>
      <c r="Q236" s="132">
        <f ca="1">SUM(Q89:Q235)</f>
        <v>0</v>
      </c>
    </row>
    <row r="237" spans="2:18" ht="15.75" thickTop="1" x14ac:dyDescent="0.25"/>
    <row r="238" spans="2:18" x14ac:dyDescent="0.25">
      <c r="B238" s="109" t="s">
        <v>372</v>
      </c>
      <c r="C238" s="109"/>
      <c r="D238" s="109"/>
      <c r="E238" s="110"/>
      <c r="F238" s="111"/>
      <c r="G238" s="111"/>
      <c r="H238" s="111"/>
      <c r="I238" s="111"/>
      <c r="J238" s="111"/>
      <c r="M238" s="109" t="s">
        <v>372</v>
      </c>
      <c r="N238" s="111"/>
      <c r="O238" s="111"/>
      <c r="P238" s="111"/>
      <c r="Q238" s="111"/>
      <c r="R238" s="111"/>
    </row>
    <row r="240" spans="2:18" x14ac:dyDescent="0.25">
      <c r="D240" s="55" t="s">
        <v>705</v>
      </c>
      <c r="E240" s="106"/>
      <c r="F240" s="101">
        <v>2500</v>
      </c>
      <c r="G240" s="102">
        <v>2400</v>
      </c>
      <c r="H240" s="103">
        <v>2300</v>
      </c>
      <c r="J240" s="112" t="s">
        <v>75</v>
      </c>
      <c r="M240" s="120" t="str">
        <f t="shared" si="12"/>
        <v>Fixed Solar System 1kW →</v>
      </c>
      <c r="N240" s="107" t="s">
        <v>588</v>
      </c>
      <c r="O240" s="116" t="s">
        <v>632</v>
      </c>
      <c r="P240" s="113">
        <v>0</v>
      </c>
      <c r="Q240" s="117" t="str">
        <f t="shared" ref="Q240:Q253" ca="1" si="14">CalculateInvestment($N$65,N240,O240,$F240:$J240,P240,$N$23,E240)</f>
        <v>REQUIRED</v>
      </c>
      <c r="R240" s="107"/>
    </row>
    <row r="241" spans="4:18" x14ac:dyDescent="0.25">
      <c r="D241" s="55" t="s">
        <v>706</v>
      </c>
      <c r="E241" s="106"/>
      <c r="F241" s="101">
        <v>2600</v>
      </c>
      <c r="G241" s="102">
        <v>2500</v>
      </c>
      <c r="H241" s="103">
        <v>2400</v>
      </c>
      <c r="J241" s="112" t="s">
        <v>75</v>
      </c>
      <c r="M241" s="120" t="str">
        <f t="shared" si="12"/>
        <v>Removeable Solar System 1kW →</v>
      </c>
      <c r="N241" s="107" t="s">
        <v>588</v>
      </c>
      <c r="O241" s="116" t="s">
        <v>632</v>
      </c>
      <c r="P241" s="113">
        <v>0</v>
      </c>
      <c r="Q241" s="117" t="str">
        <f t="shared" ca="1" si="14"/>
        <v>REQUIRED</v>
      </c>
      <c r="R241" s="107"/>
    </row>
    <row r="242" spans="4:18" x14ac:dyDescent="0.25">
      <c r="D242" s="55" t="s">
        <v>707</v>
      </c>
      <c r="E242" s="106"/>
      <c r="F242" s="101">
        <v>2200</v>
      </c>
      <c r="G242" s="102">
        <v>2100</v>
      </c>
      <c r="H242" s="103">
        <v>2100</v>
      </c>
      <c r="J242" s="112" t="s">
        <v>75</v>
      </c>
      <c r="M242" s="120" t="str">
        <f t="shared" si="12"/>
        <v>High Output Alternator →</v>
      </c>
      <c r="N242" s="107" t="s">
        <v>588</v>
      </c>
      <c r="O242" s="116" t="s">
        <v>632</v>
      </c>
      <c r="P242" s="113">
        <v>0</v>
      </c>
      <c r="Q242" s="117" t="str">
        <f t="shared" ca="1" si="14"/>
        <v>REQUIRED</v>
      </c>
      <c r="R242" s="107"/>
    </row>
    <row r="243" spans="4:18" x14ac:dyDescent="0.25">
      <c r="D243" s="55" t="s">
        <v>708</v>
      </c>
      <c r="E243" s="106"/>
      <c r="F243" s="101">
        <v>3800</v>
      </c>
      <c r="G243" s="102">
        <v>2700</v>
      </c>
      <c r="H243" s="103">
        <v>2700</v>
      </c>
      <c r="J243" s="112" t="s">
        <v>75</v>
      </c>
      <c r="M243" s="120" t="str">
        <f t="shared" si="12"/>
        <v>10 kWh House Batteries →</v>
      </c>
      <c r="N243" s="107" t="s">
        <v>588</v>
      </c>
      <c r="O243" s="116" t="s">
        <v>632</v>
      </c>
      <c r="P243" s="113">
        <v>0</v>
      </c>
      <c r="Q243" s="117" t="str">
        <f t="shared" ca="1" si="14"/>
        <v>REQUIRED</v>
      </c>
      <c r="R243" s="107"/>
    </row>
    <row r="244" spans="4:18" x14ac:dyDescent="0.25">
      <c r="D244" s="55" t="s">
        <v>709</v>
      </c>
      <c r="E244" s="106"/>
      <c r="F244" s="101">
        <v>2700</v>
      </c>
      <c r="G244" s="102">
        <v>1800</v>
      </c>
      <c r="H244" s="103">
        <v>1200</v>
      </c>
      <c r="J244" s="112" t="s">
        <v>75</v>
      </c>
      <c r="M244" s="120" t="str">
        <f t="shared" si="12"/>
        <v>Inverter And Battery Charger →</v>
      </c>
      <c r="N244" s="107" t="s">
        <v>588</v>
      </c>
      <c r="O244" s="116" t="s">
        <v>632</v>
      </c>
      <c r="P244" s="113">
        <v>0</v>
      </c>
      <c r="Q244" s="117" t="str">
        <f t="shared" ca="1" si="14"/>
        <v>REQUIRED</v>
      </c>
      <c r="R244" s="107"/>
    </row>
    <row r="245" spans="4:18" x14ac:dyDescent="0.25">
      <c r="D245" s="55" t="s">
        <v>710</v>
      </c>
      <c r="E245" s="106"/>
      <c r="F245" s="101">
        <v>900</v>
      </c>
      <c r="G245" s="102">
        <v>750</v>
      </c>
      <c r="H245" s="103">
        <v>500</v>
      </c>
      <c r="M245" s="120" t="str">
        <f t="shared" si="12"/>
        <v>Windlass Dedicated Battery →</v>
      </c>
      <c r="N245" s="107" t="s">
        <v>588</v>
      </c>
      <c r="O245" s="116" t="s">
        <v>632</v>
      </c>
      <c r="P245" s="113">
        <v>0</v>
      </c>
      <c r="Q245" s="117">
        <f t="shared" ca="1" si="14"/>
        <v>0</v>
      </c>
      <c r="R245" s="107"/>
    </row>
    <row r="246" spans="4:18" x14ac:dyDescent="0.25">
      <c r="D246" s="55" t="s">
        <v>711</v>
      </c>
      <c r="E246" s="106"/>
      <c r="F246" s="101">
        <v>3500</v>
      </c>
      <c r="G246" s="102">
        <v>3000</v>
      </c>
      <c r="H246" s="103">
        <v>2500</v>
      </c>
      <c r="J246" s="112" t="s">
        <v>75</v>
      </c>
      <c r="M246" s="120" t="str">
        <f t="shared" si="12"/>
        <v>Working Computer →</v>
      </c>
      <c r="N246" s="107" t="s">
        <v>588</v>
      </c>
      <c r="O246" s="116" t="s">
        <v>632</v>
      </c>
      <c r="P246" s="113">
        <v>0</v>
      </c>
      <c r="Q246" s="117" t="str">
        <f t="shared" ca="1" si="14"/>
        <v>REQUIRED</v>
      </c>
      <c r="R246" s="107"/>
    </row>
    <row r="247" spans="4:18" x14ac:dyDescent="0.25">
      <c r="D247" s="55" t="s">
        <v>712</v>
      </c>
      <c r="E247" s="106"/>
      <c r="F247" s="101">
        <v>800</v>
      </c>
      <c r="G247" s="102">
        <v>600</v>
      </c>
      <c r="H247" s="103">
        <v>500</v>
      </c>
      <c r="J247" s="112" t="s">
        <v>75</v>
      </c>
      <c r="M247" s="120" t="str">
        <f t="shared" si="12"/>
        <v>DIY Tools →</v>
      </c>
      <c r="N247" s="107" t="s">
        <v>588</v>
      </c>
      <c r="O247" s="116" t="s">
        <v>632</v>
      </c>
      <c r="P247" s="113">
        <v>0</v>
      </c>
      <c r="Q247" s="117" t="str">
        <f t="shared" ca="1" si="14"/>
        <v>REQUIRED</v>
      </c>
      <c r="R247" s="107"/>
    </row>
    <row r="248" spans="4:18" x14ac:dyDescent="0.25">
      <c r="D248" s="55" t="s">
        <v>713</v>
      </c>
      <c r="E248" s="106"/>
      <c r="F248" s="101">
        <v>500</v>
      </c>
      <c r="G248" s="102">
        <v>300</v>
      </c>
      <c r="H248" s="103">
        <v>300</v>
      </c>
      <c r="M248" s="120" t="str">
        <f t="shared" si="12"/>
        <v>Dry Cabinet →</v>
      </c>
      <c r="N248" s="107" t="s">
        <v>588</v>
      </c>
      <c r="O248" s="116" t="s">
        <v>632</v>
      </c>
      <c r="P248" s="113">
        <v>0</v>
      </c>
      <c r="Q248" s="117">
        <f t="shared" ca="1" si="14"/>
        <v>0</v>
      </c>
      <c r="R248" s="107"/>
    </row>
    <row r="249" spans="4:18" x14ac:dyDescent="0.25">
      <c r="D249" s="55" t="s">
        <v>714</v>
      </c>
      <c r="E249" s="106"/>
      <c r="F249" s="101">
        <v>900</v>
      </c>
      <c r="G249" s="102">
        <v>600</v>
      </c>
      <c r="H249" s="103">
        <v>500</v>
      </c>
      <c r="J249" s="112" t="s">
        <v>75</v>
      </c>
      <c r="M249" s="120" t="str">
        <f t="shared" si="12"/>
        <v>Dinghy Accessories / Upgrades →</v>
      </c>
      <c r="N249" s="107" t="s">
        <v>588</v>
      </c>
      <c r="O249" s="116" t="s">
        <v>632</v>
      </c>
      <c r="P249" s="113">
        <v>0</v>
      </c>
      <c r="Q249" s="117" t="str">
        <f t="shared" ca="1" si="14"/>
        <v>REQUIRED</v>
      </c>
      <c r="R249" s="107"/>
    </row>
    <row r="250" spans="4:18" x14ac:dyDescent="0.25">
      <c r="D250" s="55" t="s">
        <v>742</v>
      </c>
      <c r="E250" s="106"/>
      <c r="F250" s="101">
        <v>3000</v>
      </c>
      <c r="G250" s="102">
        <v>2000</v>
      </c>
      <c r="H250" s="103">
        <v>1000</v>
      </c>
      <c r="M250" s="120" t="str">
        <f t="shared" si="12"/>
        <v>Personal Items →</v>
      </c>
      <c r="N250" s="107" t="s">
        <v>588</v>
      </c>
      <c r="O250" s="116" t="s">
        <v>632</v>
      </c>
      <c r="P250" s="113">
        <v>0</v>
      </c>
      <c r="Q250" s="117">
        <f t="shared" ca="1" si="14"/>
        <v>0</v>
      </c>
      <c r="R250" s="107"/>
    </row>
    <row r="251" spans="4:18" x14ac:dyDescent="0.25">
      <c r="D251" s="55" t="s">
        <v>605</v>
      </c>
      <c r="E251" s="106"/>
      <c r="F251" s="101">
        <v>0</v>
      </c>
      <c r="G251" s="102">
        <v>0</v>
      </c>
      <c r="H251" s="103">
        <v>0</v>
      </c>
      <c r="M251" s="120" t="str">
        <f t="shared" si="12"/>
        <v>Custom 1</v>
      </c>
      <c r="N251" s="107" t="s">
        <v>588</v>
      </c>
      <c r="O251" s="116" t="s">
        <v>632</v>
      </c>
      <c r="P251" s="113">
        <v>0</v>
      </c>
      <c r="Q251" s="117">
        <f t="shared" ca="1" si="14"/>
        <v>0</v>
      </c>
      <c r="R251" s="107"/>
    </row>
    <row r="252" spans="4:18" x14ac:dyDescent="0.25">
      <c r="D252" s="55" t="s">
        <v>606</v>
      </c>
      <c r="E252" s="106"/>
      <c r="F252" s="101">
        <v>0</v>
      </c>
      <c r="G252" s="102">
        <v>0</v>
      </c>
      <c r="H252" s="103">
        <v>0</v>
      </c>
      <c r="M252" s="120" t="str">
        <f t="shared" si="12"/>
        <v>Custom 2</v>
      </c>
      <c r="N252" s="107" t="s">
        <v>588</v>
      </c>
      <c r="O252" s="116" t="s">
        <v>632</v>
      </c>
      <c r="P252" s="113">
        <v>0</v>
      </c>
      <c r="Q252" s="117">
        <f t="shared" ca="1" si="14"/>
        <v>0</v>
      </c>
      <c r="R252" s="107"/>
    </row>
    <row r="253" spans="4:18" x14ac:dyDescent="0.25">
      <c r="D253" s="55" t="s">
        <v>607</v>
      </c>
      <c r="E253" s="106"/>
      <c r="F253" s="101">
        <v>0</v>
      </c>
      <c r="G253" s="102">
        <v>0</v>
      </c>
      <c r="H253" s="103">
        <v>0</v>
      </c>
      <c r="M253" s="120" t="str">
        <f t="shared" si="12"/>
        <v>Custom 3</v>
      </c>
      <c r="N253" s="107" t="s">
        <v>588</v>
      </c>
      <c r="O253" s="116" t="s">
        <v>632</v>
      </c>
      <c r="P253" s="113">
        <v>0</v>
      </c>
      <c r="Q253" s="117">
        <f t="shared" ca="1" si="14"/>
        <v>0</v>
      </c>
      <c r="R253" s="107"/>
    </row>
    <row r="255" spans="4:18" ht="15.75" thickBot="1" x14ac:dyDescent="0.3">
      <c r="F255" s="136">
        <f>SUM(F240:F253)</f>
        <v>23400</v>
      </c>
      <c r="G255" s="136">
        <f>SUM(G240:G253)</f>
        <v>18750</v>
      </c>
      <c r="H255" s="136">
        <f>SUM(H240:H253)</f>
        <v>16000</v>
      </c>
      <c r="M255" t="s">
        <v>672</v>
      </c>
      <c r="Q255" s="132">
        <f ca="1">SUM(Q240:Q253)</f>
        <v>0</v>
      </c>
    </row>
    <row r="256" spans="4:18" ht="15.75" thickTop="1" x14ac:dyDescent="0.25">
      <c r="R256"/>
    </row>
    <row r="257" spans="4:18" x14ac:dyDescent="0.25">
      <c r="Q257" s="52"/>
      <c r="R257"/>
    </row>
    <row r="264" spans="4:18" x14ac:dyDescent="0.25">
      <c r="D264" s="56"/>
      <c r="F264"/>
      <c r="G264"/>
      <c r="H264"/>
      <c r="R264"/>
    </row>
    <row r="265" spans="4:18" x14ac:dyDescent="0.25">
      <c r="D265" s="56"/>
      <c r="F265"/>
      <c r="G265"/>
      <c r="H265"/>
      <c r="R265"/>
    </row>
    <row r="266" spans="4:18" x14ac:dyDescent="0.25">
      <c r="D266" s="56"/>
      <c r="F266"/>
      <c r="G266"/>
      <c r="H266"/>
      <c r="R266"/>
    </row>
    <row r="267" spans="4:18" x14ac:dyDescent="0.25">
      <c r="F267"/>
      <c r="G267"/>
      <c r="H267"/>
      <c r="R267"/>
    </row>
    <row r="268" spans="4:18" x14ac:dyDescent="0.25">
      <c r="F268"/>
      <c r="G268"/>
      <c r="H268"/>
      <c r="R268"/>
    </row>
    <row r="269" spans="4:18" x14ac:dyDescent="0.25">
      <c r="F269"/>
      <c r="G269"/>
      <c r="H269"/>
      <c r="R269"/>
    </row>
    <row r="270" spans="4:18" x14ac:dyDescent="0.25">
      <c r="F270"/>
      <c r="G270"/>
      <c r="H270"/>
      <c r="R270"/>
    </row>
    <row r="271" spans="4:18" x14ac:dyDescent="0.25">
      <c r="F271"/>
      <c r="G271"/>
      <c r="H271"/>
      <c r="R271"/>
    </row>
    <row r="272" spans="4:18" x14ac:dyDescent="0.25">
      <c r="E272"/>
      <c r="F272"/>
      <c r="G272"/>
      <c r="H272"/>
      <c r="J272"/>
      <c r="M272"/>
      <c r="P272"/>
      <c r="R272"/>
    </row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</sheetData>
  <mergeCells count="16">
    <mergeCell ref="N18:P18"/>
    <mergeCell ref="N19:P19"/>
    <mergeCell ref="N20:P20"/>
    <mergeCell ref="N21:P21"/>
    <mergeCell ref="N10:P10"/>
    <mergeCell ref="N11:P11"/>
    <mergeCell ref="N14:P14"/>
    <mergeCell ref="N15:P15"/>
    <mergeCell ref="N16:P16"/>
    <mergeCell ref="N17:P17"/>
    <mergeCell ref="N9:P9"/>
    <mergeCell ref="N2:R2"/>
    <mergeCell ref="N4:R4"/>
    <mergeCell ref="N5:R5"/>
    <mergeCell ref="N6:R6"/>
    <mergeCell ref="N8:P8"/>
  </mergeCells>
  <conditionalFormatting sqref="N89:N96 N144:N147">
    <cfRule type="cellIs" dxfId="159" priority="159" operator="equal">
      <formula>"Replace"</formula>
    </cfRule>
  </conditionalFormatting>
  <conditionalFormatting sqref="N89:N96 N144:N147">
    <cfRule type="cellIs" dxfId="158" priority="156" operator="equal">
      <formula>"Unknown"</formula>
    </cfRule>
  </conditionalFormatting>
  <conditionalFormatting sqref="N89:N96 N144:N147">
    <cfRule type="cellIs" dxfId="157" priority="157" operator="equal">
      <formula>"Good"</formula>
    </cfRule>
  </conditionalFormatting>
  <conditionalFormatting sqref="N89:N96">
    <cfRule type="cellIs" dxfId="156" priority="158" operator="equal">
      <formula>"Repair"</formula>
    </cfRule>
    <cfRule type="cellIs" dxfId="155" priority="160" operator="equal">
      <formula>"Dispose"</formula>
    </cfRule>
  </conditionalFormatting>
  <conditionalFormatting sqref="N98:N101">
    <cfRule type="cellIs" dxfId="154" priority="154" operator="equal">
      <formula>"Replace"</formula>
    </cfRule>
  </conditionalFormatting>
  <conditionalFormatting sqref="N98:N101">
    <cfRule type="cellIs" dxfId="153" priority="151" operator="equal">
      <formula>"Unknown"</formula>
    </cfRule>
  </conditionalFormatting>
  <conditionalFormatting sqref="N98:N101">
    <cfRule type="cellIs" dxfId="152" priority="152" operator="equal">
      <formula>"Good"</formula>
    </cfRule>
  </conditionalFormatting>
  <conditionalFormatting sqref="N98:N101 N144:N147">
    <cfRule type="cellIs" dxfId="151" priority="153" operator="equal">
      <formula>"Repair"</formula>
    </cfRule>
    <cfRule type="cellIs" dxfId="150" priority="155" operator="equal">
      <formula>"Dispose"</formula>
    </cfRule>
  </conditionalFormatting>
  <conditionalFormatting sqref="N103:N123">
    <cfRule type="cellIs" dxfId="149" priority="149" operator="equal">
      <formula>"Replace"</formula>
    </cfRule>
  </conditionalFormatting>
  <conditionalFormatting sqref="N103:N123">
    <cfRule type="cellIs" dxfId="148" priority="146" operator="equal">
      <formula>"Unknown"</formula>
    </cfRule>
  </conditionalFormatting>
  <conditionalFormatting sqref="N103:N123">
    <cfRule type="cellIs" dxfId="147" priority="147" operator="equal">
      <formula>"Good"</formula>
    </cfRule>
  </conditionalFormatting>
  <conditionalFormatting sqref="N103:N123">
    <cfRule type="cellIs" dxfId="146" priority="148" operator="equal">
      <formula>"Repair"</formula>
    </cfRule>
    <cfRule type="cellIs" dxfId="145" priority="150" operator="equal">
      <formula>"Dispose"</formula>
    </cfRule>
  </conditionalFormatting>
  <conditionalFormatting sqref="N127:N130">
    <cfRule type="cellIs" dxfId="144" priority="144" operator="equal">
      <formula>"Replace"</formula>
    </cfRule>
  </conditionalFormatting>
  <conditionalFormatting sqref="N127:N130">
    <cfRule type="cellIs" dxfId="143" priority="141" operator="equal">
      <formula>"Unknown"</formula>
    </cfRule>
  </conditionalFormatting>
  <conditionalFormatting sqref="N127:N130">
    <cfRule type="cellIs" dxfId="142" priority="142" operator="equal">
      <formula>"Good"</formula>
    </cfRule>
  </conditionalFormatting>
  <conditionalFormatting sqref="N127:N130">
    <cfRule type="cellIs" dxfId="141" priority="143" operator="equal">
      <formula>"Repair"</formula>
    </cfRule>
    <cfRule type="cellIs" dxfId="140" priority="145" operator="equal">
      <formula>"Dispose"</formula>
    </cfRule>
  </conditionalFormatting>
  <conditionalFormatting sqref="N132:N140">
    <cfRule type="cellIs" dxfId="139" priority="139" operator="equal">
      <formula>"Replace"</formula>
    </cfRule>
  </conditionalFormatting>
  <conditionalFormatting sqref="N132:N140">
    <cfRule type="cellIs" dxfId="138" priority="136" operator="equal">
      <formula>"Unknown"</formula>
    </cfRule>
  </conditionalFormatting>
  <conditionalFormatting sqref="N132:N140">
    <cfRule type="cellIs" dxfId="137" priority="137" operator="equal">
      <formula>"Good"</formula>
    </cfRule>
  </conditionalFormatting>
  <conditionalFormatting sqref="N132:N140">
    <cfRule type="cellIs" dxfId="136" priority="138" operator="equal">
      <formula>"Repair"</formula>
    </cfRule>
    <cfRule type="cellIs" dxfId="135" priority="140" operator="equal">
      <formula>"Dispose"</formula>
    </cfRule>
  </conditionalFormatting>
  <conditionalFormatting sqref="N142">
    <cfRule type="cellIs" dxfId="134" priority="134" operator="equal">
      <formula>"Replace"</formula>
    </cfRule>
  </conditionalFormatting>
  <conditionalFormatting sqref="N142">
    <cfRule type="cellIs" dxfId="133" priority="131" operator="equal">
      <formula>"Unknown"</formula>
    </cfRule>
  </conditionalFormatting>
  <conditionalFormatting sqref="N142">
    <cfRule type="cellIs" dxfId="132" priority="132" operator="equal">
      <formula>"Good"</formula>
    </cfRule>
  </conditionalFormatting>
  <conditionalFormatting sqref="N142">
    <cfRule type="cellIs" dxfId="131" priority="133" operator="equal">
      <formula>"Repair"</formula>
    </cfRule>
    <cfRule type="cellIs" dxfId="130" priority="135" operator="equal">
      <formula>"Dispose"</formula>
    </cfRule>
  </conditionalFormatting>
  <conditionalFormatting sqref="N149:N153">
    <cfRule type="cellIs" dxfId="129" priority="129" operator="equal">
      <formula>"Replace"</formula>
    </cfRule>
  </conditionalFormatting>
  <conditionalFormatting sqref="N149:N153">
    <cfRule type="cellIs" dxfId="128" priority="126" operator="equal">
      <formula>"Unknown"</formula>
    </cfRule>
  </conditionalFormatting>
  <conditionalFormatting sqref="N149:N153">
    <cfRule type="cellIs" dxfId="127" priority="127" operator="equal">
      <formula>"Good"</formula>
    </cfRule>
  </conditionalFormatting>
  <conditionalFormatting sqref="N149:N153">
    <cfRule type="cellIs" dxfId="126" priority="128" operator="equal">
      <formula>"Repair"</formula>
    </cfRule>
    <cfRule type="cellIs" dxfId="125" priority="130" operator="equal">
      <formula>"Dispose"</formula>
    </cfRule>
  </conditionalFormatting>
  <conditionalFormatting sqref="N155:N156">
    <cfRule type="cellIs" dxfId="124" priority="124" operator="equal">
      <formula>"Replace"</formula>
    </cfRule>
  </conditionalFormatting>
  <conditionalFormatting sqref="N155:N156">
    <cfRule type="cellIs" dxfId="123" priority="121" operator="equal">
      <formula>"Unknown"</formula>
    </cfRule>
  </conditionalFormatting>
  <conditionalFormatting sqref="N155:N156">
    <cfRule type="cellIs" dxfId="122" priority="122" operator="equal">
      <formula>"Good"</formula>
    </cfRule>
  </conditionalFormatting>
  <conditionalFormatting sqref="N155:N156">
    <cfRule type="cellIs" dxfId="121" priority="123" operator="equal">
      <formula>"Repair"</formula>
    </cfRule>
    <cfRule type="cellIs" dxfId="120" priority="125" operator="equal">
      <formula>"Dispose"</formula>
    </cfRule>
  </conditionalFormatting>
  <conditionalFormatting sqref="N158">
    <cfRule type="cellIs" dxfId="119" priority="119" operator="equal">
      <formula>"Replace"</formula>
    </cfRule>
  </conditionalFormatting>
  <conditionalFormatting sqref="N158">
    <cfRule type="cellIs" dxfId="118" priority="116" operator="equal">
      <formula>"Unknown"</formula>
    </cfRule>
  </conditionalFormatting>
  <conditionalFormatting sqref="N158">
    <cfRule type="cellIs" dxfId="117" priority="117" operator="equal">
      <formula>"Good"</formula>
    </cfRule>
  </conditionalFormatting>
  <conditionalFormatting sqref="N158">
    <cfRule type="cellIs" dxfId="116" priority="118" operator="equal">
      <formula>"Repair"</formula>
    </cfRule>
    <cfRule type="cellIs" dxfId="115" priority="120" operator="equal">
      <formula>"Dispose"</formula>
    </cfRule>
  </conditionalFormatting>
  <conditionalFormatting sqref="N159">
    <cfRule type="cellIs" dxfId="114" priority="114" operator="equal">
      <formula>"Replace"</formula>
    </cfRule>
  </conditionalFormatting>
  <conditionalFormatting sqref="N159">
    <cfRule type="cellIs" dxfId="113" priority="111" operator="equal">
      <formula>"Unknown"</formula>
    </cfRule>
  </conditionalFormatting>
  <conditionalFormatting sqref="N159">
    <cfRule type="cellIs" dxfId="112" priority="112" operator="equal">
      <formula>"Good"</formula>
    </cfRule>
  </conditionalFormatting>
  <conditionalFormatting sqref="N159">
    <cfRule type="cellIs" dxfId="111" priority="113" operator="equal">
      <formula>"Repair"</formula>
    </cfRule>
    <cfRule type="cellIs" dxfId="110" priority="115" operator="equal">
      <formula>"Dispose"</formula>
    </cfRule>
  </conditionalFormatting>
  <conditionalFormatting sqref="N160">
    <cfRule type="cellIs" dxfId="109" priority="109" operator="equal">
      <formula>"Replace"</formula>
    </cfRule>
  </conditionalFormatting>
  <conditionalFormatting sqref="N160">
    <cfRule type="cellIs" dxfId="108" priority="106" operator="equal">
      <formula>"Unknown"</formula>
    </cfRule>
  </conditionalFormatting>
  <conditionalFormatting sqref="N160">
    <cfRule type="cellIs" dxfId="107" priority="107" operator="equal">
      <formula>"Good"</formula>
    </cfRule>
  </conditionalFormatting>
  <conditionalFormatting sqref="N160">
    <cfRule type="cellIs" dxfId="106" priority="108" operator="equal">
      <formula>"Repair"</formula>
    </cfRule>
    <cfRule type="cellIs" dxfId="105" priority="110" operator="equal">
      <formula>"Dispose"</formula>
    </cfRule>
  </conditionalFormatting>
  <conditionalFormatting sqref="N161">
    <cfRule type="cellIs" dxfId="104" priority="104" operator="equal">
      <formula>"Replace"</formula>
    </cfRule>
  </conditionalFormatting>
  <conditionalFormatting sqref="N161">
    <cfRule type="cellIs" dxfId="103" priority="101" operator="equal">
      <formula>"Unknown"</formula>
    </cfRule>
  </conditionalFormatting>
  <conditionalFormatting sqref="N161">
    <cfRule type="cellIs" dxfId="102" priority="102" operator="equal">
      <formula>"Good"</formula>
    </cfRule>
  </conditionalFormatting>
  <conditionalFormatting sqref="N161">
    <cfRule type="cellIs" dxfId="101" priority="103" operator="equal">
      <formula>"Repair"</formula>
    </cfRule>
    <cfRule type="cellIs" dxfId="100" priority="105" operator="equal">
      <formula>"Dispose"</formula>
    </cfRule>
  </conditionalFormatting>
  <conditionalFormatting sqref="N163:N165">
    <cfRule type="cellIs" dxfId="99" priority="99" operator="equal">
      <formula>"Replace"</formula>
    </cfRule>
  </conditionalFormatting>
  <conditionalFormatting sqref="N163:N165">
    <cfRule type="cellIs" dxfId="98" priority="96" operator="equal">
      <formula>"Unknown"</formula>
    </cfRule>
  </conditionalFormatting>
  <conditionalFormatting sqref="N163:N165">
    <cfRule type="cellIs" dxfId="97" priority="97" operator="equal">
      <formula>"Good"</formula>
    </cfRule>
  </conditionalFormatting>
  <conditionalFormatting sqref="N163:N165">
    <cfRule type="cellIs" dxfId="96" priority="98" operator="equal">
      <formula>"Repair"</formula>
    </cfRule>
    <cfRule type="cellIs" dxfId="95" priority="100" operator="equal">
      <formula>"Dispose"</formula>
    </cfRule>
  </conditionalFormatting>
  <conditionalFormatting sqref="N167:N173">
    <cfRule type="cellIs" dxfId="94" priority="94" operator="equal">
      <formula>"Replace"</formula>
    </cfRule>
  </conditionalFormatting>
  <conditionalFormatting sqref="N167:N173">
    <cfRule type="cellIs" dxfId="93" priority="91" operator="equal">
      <formula>"Unknown"</formula>
    </cfRule>
  </conditionalFormatting>
  <conditionalFormatting sqref="N167:N173">
    <cfRule type="cellIs" dxfId="92" priority="92" operator="equal">
      <formula>"Good"</formula>
    </cfRule>
  </conditionalFormatting>
  <conditionalFormatting sqref="N167:N173">
    <cfRule type="cellIs" dxfId="91" priority="93" operator="equal">
      <formula>"Repair"</formula>
    </cfRule>
    <cfRule type="cellIs" dxfId="90" priority="95" operator="equal">
      <formula>"Dispose"</formula>
    </cfRule>
  </conditionalFormatting>
  <conditionalFormatting sqref="N175:N178">
    <cfRule type="cellIs" dxfId="89" priority="89" operator="equal">
      <formula>"Replace"</formula>
    </cfRule>
  </conditionalFormatting>
  <conditionalFormatting sqref="N175:N178">
    <cfRule type="cellIs" dxfId="88" priority="86" operator="equal">
      <formula>"Unknown"</formula>
    </cfRule>
  </conditionalFormatting>
  <conditionalFormatting sqref="N175:N178">
    <cfRule type="cellIs" dxfId="87" priority="87" operator="equal">
      <formula>"Good"</formula>
    </cfRule>
  </conditionalFormatting>
  <conditionalFormatting sqref="N175:N178">
    <cfRule type="cellIs" dxfId="86" priority="88" operator="equal">
      <formula>"Repair"</formula>
    </cfRule>
    <cfRule type="cellIs" dxfId="85" priority="90" operator="equal">
      <formula>"Dispose"</formula>
    </cfRule>
  </conditionalFormatting>
  <conditionalFormatting sqref="N182:N184">
    <cfRule type="cellIs" dxfId="84" priority="84" operator="equal">
      <formula>"Replace"</formula>
    </cfRule>
  </conditionalFormatting>
  <conditionalFormatting sqref="N182:N184">
    <cfRule type="cellIs" dxfId="83" priority="81" operator="equal">
      <formula>"Unknown"</formula>
    </cfRule>
  </conditionalFormatting>
  <conditionalFormatting sqref="N182:N184">
    <cfRule type="cellIs" dxfId="82" priority="82" operator="equal">
      <formula>"Good"</formula>
    </cfRule>
  </conditionalFormatting>
  <conditionalFormatting sqref="N182:N184">
    <cfRule type="cellIs" dxfId="81" priority="83" operator="equal">
      <formula>"Repair"</formula>
    </cfRule>
    <cfRule type="cellIs" dxfId="80" priority="85" operator="equal">
      <formula>"Dispose"</formula>
    </cfRule>
  </conditionalFormatting>
  <conditionalFormatting sqref="N186">
    <cfRule type="cellIs" dxfId="79" priority="79" operator="equal">
      <formula>"Replace"</formula>
    </cfRule>
  </conditionalFormatting>
  <conditionalFormatting sqref="N186">
    <cfRule type="cellIs" dxfId="78" priority="76" operator="equal">
      <formula>"Unknown"</formula>
    </cfRule>
  </conditionalFormatting>
  <conditionalFormatting sqref="N186">
    <cfRule type="cellIs" dxfId="77" priority="77" operator="equal">
      <formula>"Good"</formula>
    </cfRule>
  </conditionalFormatting>
  <conditionalFormatting sqref="N186">
    <cfRule type="cellIs" dxfId="76" priority="78" operator="equal">
      <formula>"Repair"</formula>
    </cfRule>
    <cfRule type="cellIs" dxfId="75" priority="80" operator="equal">
      <formula>"Dispose"</formula>
    </cfRule>
  </conditionalFormatting>
  <conditionalFormatting sqref="N188:N194">
    <cfRule type="cellIs" dxfId="74" priority="74" operator="equal">
      <formula>"Replace"</formula>
    </cfRule>
  </conditionalFormatting>
  <conditionalFormatting sqref="N188:N194">
    <cfRule type="cellIs" dxfId="73" priority="71" operator="equal">
      <formula>"Unknown"</formula>
    </cfRule>
  </conditionalFormatting>
  <conditionalFormatting sqref="N188:N194">
    <cfRule type="cellIs" dxfId="72" priority="72" operator="equal">
      <formula>"Good"</formula>
    </cfRule>
  </conditionalFormatting>
  <conditionalFormatting sqref="N188:N194">
    <cfRule type="cellIs" dxfId="71" priority="73" operator="equal">
      <formula>"Repair"</formula>
    </cfRule>
    <cfRule type="cellIs" dxfId="70" priority="75" operator="equal">
      <formula>"Dispose"</formula>
    </cfRule>
  </conditionalFormatting>
  <conditionalFormatting sqref="N196:N199">
    <cfRule type="cellIs" dxfId="69" priority="69" operator="equal">
      <formula>"Replace"</formula>
    </cfRule>
  </conditionalFormatting>
  <conditionalFormatting sqref="N196:N199">
    <cfRule type="cellIs" dxfId="68" priority="66" operator="equal">
      <formula>"Unknown"</formula>
    </cfRule>
  </conditionalFormatting>
  <conditionalFormatting sqref="N196:N199">
    <cfRule type="cellIs" dxfId="67" priority="67" operator="equal">
      <formula>"Good"</formula>
    </cfRule>
  </conditionalFormatting>
  <conditionalFormatting sqref="N196:N199">
    <cfRule type="cellIs" dxfId="66" priority="68" operator="equal">
      <formula>"Repair"</formula>
    </cfRule>
    <cfRule type="cellIs" dxfId="65" priority="70" operator="equal">
      <formula>"Dispose"</formula>
    </cfRule>
  </conditionalFormatting>
  <conditionalFormatting sqref="N202:N213">
    <cfRule type="cellIs" dxfId="64" priority="64" operator="equal">
      <formula>"Replace"</formula>
    </cfRule>
  </conditionalFormatting>
  <conditionalFormatting sqref="N202:N213">
    <cfRule type="cellIs" dxfId="63" priority="61" operator="equal">
      <formula>"Unknown"</formula>
    </cfRule>
  </conditionalFormatting>
  <conditionalFormatting sqref="N202:N213">
    <cfRule type="cellIs" dxfId="62" priority="62" operator="equal">
      <formula>"Good"</formula>
    </cfRule>
  </conditionalFormatting>
  <conditionalFormatting sqref="N202:N213">
    <cfRule type="cellIs" dxfId="61" priority="63" operator="equal">
      <formula>"Repair"</formula>
    </cfRule>
    <cfRule type="cellIs" dxfId="60" priority="65" operator="equal">
      <formula>"Dispose"</formula>
    </cfRule>
  </conditionalFormatting>
  <conditionalFormatting sqref="N216:N218">
    <cfRule type="cellIs" dxfId="59" priority="59" operator="equal">
      <formula>"Replace"</formula>
    </cfRule>
  </conditionalFormatting>
  <conditionalFormatting sqref="N216:N218">
    <cfRule type="cellIs" dxfId="58" priority="56" operator="equal">
      <formula>"Unknown"</formula>
    </cfRule>
  </conditionalFormatting>
  <conditionalFormatting sqref="N216:N218">
    <cfRule type="cellIs" dxfId="57" priority="57" operator="equal">
      <formula>"Good"</formula>
    </cfRule>
  </conditionalFormatting>
  <conditionalFormatting sqref="N216:N218">
    <cfRule type="cellIs" dxfId="56" priority="58" operator="equal">
      <formula>"Repair"</formula>
    </cfRule>
    <cfRule type="cellIs" dxfId="55" priority="60" operator="equal">
      <formula>"Dispose"</formula>
    </cfRule>
  </conditionalFormatting>
  <conditionalFormatting sqref="N222:N224">
    <cfRule type="cellIs" dxfId="54" priority="54" operator="equal">
      <formula>"Replace"</formula>
    </cfRule>
  </conditionalFormatting>
  <conditionalFormatting sqref="N222:N224">
    <cfRule type="cellIs" dxfId="53" priority="51" operator="equal">
      <formula>"Unknown"</formula>
    </cfRule>
  </conditionalFormatting>
  <conditionalFormatting sqref="N222:N224">
    <cfRule type="cellIs" dxfId="52" priority="52" operator="equal">
      <formula>"Good"</formula>
    </cfRule>
  </conditionalFormatting>
  <conditionalFormatting sqref="N222:N224">
    <cfRule type="cellIs" dxfId="51" priority="53" operator="equal">
      <formula>"Repair"</formula>
    </cfRule>
    <cfRule type="cellIs" dxfId="50" priority="55" operator="equal">
      <formula>"Dispose"</formula>
    </cfRule>
  </conditionalFormatting>
  <conditionalFormatting sqref="N226:N232">
    <cfRule type="cellIs" dxfId="49" priority="49" operator="equal">
      <formula>"Replace"</formula>
    </cfRule>
  </conditionalFormatting>
  <conditionalFormatting sqref="N226:N232">
    <cfRule type="cellIs" dxfId="48" priority="46" operator="equal">
      <formula>"Unknown"</formula>
    </cfRule>
  </conditionalFormatting>
  <conditionalFormatting sqref="N226:N232">
    <cfRule type="cellIs" dxfId="47" priority="47" operator="equal">
      <formula>"Good"</formula>
    </cfRule>
  </conditionalFormatting>
  <conditionalFormatting sqref="N226:N232">
    <cfRule type="cellIs" dxfId="46" priority="48" operator="equal">
      <formula>"Repair"</formula>
    </cfRule>
    <cfRule type="cellIs" dxfId="45" priority="50" operator="equal">
      <formula>"Dispose"</formula>
    </cfRule>
  </conditionalFormatting>
  <conditionalFormatting sqref="N234">
    <cfRule type="cellIs" dxfId="44" priority="44" operator="equal">
      <formula>"Replace"</formula>
    </cfRule>
  </conditionalFormatting>
  <conditionalFormatting sqref="N234">
    <cfRule type="cellIs" dxfId="43" priority="41" operator="equal">
      <formula>"Unknown"</formula>
    </cfRule>
  </conditionalFormatting>
  <conditionalFormatting sqref="N234">
    <cfRule type="cellIs" dxfId="42" priority="42" operator="equal">
      <formula>"Good"</formula>
    </cfRule>
  </conditionalFormatting>
  <conditionalFormatting sqref="N234">
    <cfRule type="cellIs" dxfId="41" priority="43" operator="equal">
      <formula>"Repair"</formula>
    </cfRule>
    <cfRule type="cellIs" dxfId="40" priority="45" operator="equal">
      <formula>"Dispose"</formula>
    </cfRule>
  </conditionalFormatting>
  <conditionalFormatting sqref="N240:N249">
    <cfRule type="cellIs" dxfId="39" priority="39" operator="equal">
      <formula>"Replace"</formula>
    </cfRule>
  </conditionalFormatting>
  <conditionalFormatting sqref="N240:N249">
    <cfRule type="cellIs" dxfId="38" priority="36" operator="equal">
      <formula>"Unknown"</formula>
    </cfRule>
  </conditionalFormatting>
  <conditionalFormatting sqref="N240:N249">
    <cfRule type="cellIs" dxfId="37" priority="37" operator="equal">
      <formula>"Good"</formula>
    </cfRule>
  </conditionalFormatting>
  <conditionalFormatting sqref="N240:N249">
    <cfRule type="cellIs" dxfId="36" priority="38" operator="equal">
      <formula>"Repair"</formula>
    </cfRule>
    <cfRule type="cellIs" dxfId="35" priority="40" operator="equal">
      <formula>"Dispose"</formula>
    </cfRule>
  </conditionalFormatting>
  <conditionalFormatting sqref="N250:N253">
    <cfRule type="cellIs" dxfId="34" priority="34" operator="equal">
      <formula>"Replace"</formula>
    </cfRule>
  </conditionalFormatting>
  <conditionalFormatting sqref="N250:N253">
    <cfRule type="cellIs" dxfId="33" priority="31" operator="equal">
      <formula>"Unknown"</formula>
    </cfRule>
  </conditionalFormatting>
  <conditionalFormatting sqref="N250:N253">
    <cfRule type="cellIs" dxfId="32" priority="32" operator="equal">
      <formula>"Good"</formula>
    </cfRule>
  </conditionalFormatting>
  <conditionalFormatting sqref="N250:N253">
    <cfRule type="cellIs" dxfId="31" priority="33" operator="equal">
      <formula>"Repair"</formula>
    </cfRule>
    <cfRule type="cellIs" dxfId="30" priority="35" operator="equal">
      <formula>"Dispose"</formula>
    </cfRule>
  </conditionalFormatting>
  <conditionalFormatting sqref="N82">
    <cfRule type="cellIs" dxfId="29" priority="29" operator="equal">
      <formula>"Replace"</formula>
    </cfRule>
  </conditionalFormatting>
  <conditionalFormatting sqref="N82">
    <cfRule type="cellIs" dxfId="28" priority="26" operator="equal">
      <formula>"Unknown"</formula>
    </cfRule>
  </conditionalFormatting>
  <conditionalFormatting sqref="N82">
    <cfRule type="cellIs" dxfId="27" priority="27" operator="equal">
      <formula>"Good"</formula>
    </cfRule>
  </conditionalFormatting>
  <conditionalFormatting sqref="N82">
    <cfRule type="cellIs" dxfId="26" priority="28" operator="equal">
      <formula>"Repair"</formula>
    </cfRule>
    <cfRule type="cellIs" dxfId="25" priority="30" operator="equal">
      <formula>"Dispose"</formula>
    </cfRule>
  </conditionalFormatting>
  <conditionalFormatting sqref="N83">
    <cfRule type="cellIs" dxfId="24" priority="24" operator="equal">
      <formula>"Replace"</formula>
    </cfRule>
  </conditionalFormatting>
  <conditionalFormatting sqref="N83">
    <cfRule type="cellIs" dxfId="23" priority="21" operator="equal">
      <formula>"Unknown"</formula>
    </cfRule>
  </conditionalFormatting>
  <conditionalFormatting sqref="N83">
    <cfRule type="cellIs" dxfId="22" priority="22" operator="equal">
      <formula>"Good"</formula>
    </cfRule>
  </conditionalFormatting>
  <conditionalFormatting sqref="N83">
    <cfRule type="cellIs" dxfId="21" priority="23" operator="equal">
      <formula>"Repair"</formula>
    </cfRule>
    <cfRule type="cellIs" dxfId="20" priority="25" operator="equal">
      <formula>"Dispose"</formula>
    </cfRule>
  </conditionalFormatting>
  <conditionalFormatting sqref="N84">
    <cfRule type="cellIs" dxfId="19" priority="19" operator="equal">
      <formula>"Replace"</formula>
    </cfRule>
  </conditionalFormatting>
  <conditionalFormatting sqref="N84">
    <cfRule type="cellIs" dxfId="18" priority="16" operator="equal">
      <formula>"Unknown"</formula>
    </cfRule>
  </conditionalFormatting>
  <conditionalFormatting sqref="N84">
    <cfRule type="cellIs" dxfId="17" priority="17" operator="equal">
      <formula>"Good"</formula>
    </cfRule>
  </conditionalFormatting>
  <conditionalFormatting sqref="N84">
    <cfRule type="cellIs" dxfId="16" priority="18" operator="equal">
      <formula>"Repair"</formula>
    </cfRule>
    <cfRule type="cellIs" dxfId="15" priority="20" operator="equal">
      <formula>"Dispose"</formula>
    </cfRule>
  </conditionalFormatting>
  <conditionalFormatting sqref="N85">
    <cfRule type="cellIs" dxfId="14" priority="14" operator="equal">
      <formula>"Replace"</formula>
    </cfRule>
  </conditionalFormatting>
  <conditionalFormatting sqref="N85">
    <cfRule type="cellIs" dxfId="13" priority="11" operator="equal">
      <formula>"Unknown"</formula>
    </cfRule>
  </conditionalFormatting>
  <conditionalFormatting sqref="N85">
    <cfRule type="cellIs" dxfId="12" priority="12" operator="equal">
      <formula>"Good"</formula>
    </cfRule>
  </conditionalFormatting>
  <conditionalFormatting sqref="N85">
    <cfRule type="cellIs" dxfId="11" priority="13" operator="equal">
      <formula>"Repair"</formula>
    </cfRule>
    <cfRule type="cellIs" dxfId="10" priority="15" operator="equal">
      <formula>"Dispose"</formula>
    </cfRule>
  </conditionalFormatting>
  <conditionalFormatting sqref="N81">
    <cfRule type="cellIs" dxfId="9" priority="9" operator="equal">
      <formula>"Replace"</formula>
    </cfRule>
  </conditionalFormatting>
  <conditionalFormatting sqref="N81">
    <cfRule type="cellIs" dxfId="8" priority="6" operator="equal">
      <formula>"Unknown"</formula>
    </cfRule>
  </conditionalFormatting>
  <conditionalFormatting sqref="N81">
    <cfRule type="cellIs" dxfId="7" priority="7" operator="equal">
      <formula>"Good"</formula>
    </cfRule>
  </conditionalFormatting>
  <conditionalFormatting sqref="N81">
    <cfRule type="cellIs" dxfId="6" priority="8" operator="equal">
      <formula>"Repair"</formula>
    </cfRule>
    <cfRule type="cellIs" dxfId="5" priority="10" operator="equal">
      <formula>"Dispose"</formula>
    </cfRule>
  </conditionalFormatting>
  <conditionalFormatting sqref="N65">
    <cfRule type="cellIs" dxfId="4" priority="4" operator="equal">
      <formula>"Replace"</formula>
    </cfRule>
  </conditionalFormatting>
  <conditionalFormatting sqref="N65">
    <cfRule type="cellIs" dxfId="3" priority="1" operator="equal">
      <formula>"Unknown"</formula>
    </cfRule>
  </conditionalFormatting>
  <conditionalFormatting sqref="N65">
    <cfRule type="cellIs" dxfId="2" priority="2" operator="equal">
      <formula>"Good"</formula>
    </cfRule>
  </conditionalFormatting>
  <conditionalFormatting sqref="N65">
    <cfRule type="cellIs" dxfId="1" priority="3" operator="equal">
      <formula>"Repair"</formula>
    </cfRule>
    <cfRule type="cellIs" dxfId="0" priority="5" operator="equal">
      <formula>"Dispose"</formula>
    </cfRule>
  </conditionalFormatting>
  <dataValidations count="2">
    <dataValidation type="list" allowBlank="1" showInputMessage="1" showErrorMessage="1" sqref="N65" xr:uid="{A42E6BE7-0311-4510-820A-76D824BDAFDD}">
      <formula1>AssesmentTargets</formula1>
    </dataValidation>
    <dataValidation type="list" allowBlank="1" showInputMessage="1" showErrorMessage="1" sqref="N98:N101 N81:N85 N103:N123 N127:N130 N132:N140 N142 N149:N153 N155:N156 N158:N161 N163:N165 N144:N147 N175:N178 N182:N184 N186 N188:N194 N196:N199 N202:N213 N216:N218 N222:N224 N226:N232 N234 N167:N173 N89:N96 N240:N253" xr:uid="{E7D18418-35A5-4C2D-9153-DCF2CF5D959E}">
      <formula1>ItemState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Assesment</vt:lpstr>
      <vt:lpstr>Groups</vt:lpstr>
      <vt:lpstr>Battery</vt:lpstr>
      <vt:lpstr>Usage</vt:lpstr>
      <vt:lpstr>Generation</vt:lpstr>
      <vt:lpstr>Parameters</vt:lpstr>
      <vt:lpstr>Back</vt:lpstr>
      <vt:lpstr>AssesmentTargets</vt:lpstr>
      <vt:lpstr>ItemState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Pan</dc:creator>
  <cp:lastModifiedBy>Peter Pan</cp:lastModifiedBy>
  <dcterms:created xsi:type="dcterms:W3CDTF">2024-01-30T02:33:49Z</dcterms:created>
  <dcterms:modified xsi:type="dcterms:W3CDTF">2024-02-06T00:18:48Z</dcterms:modified>
</cp:coreProperties>
</file>